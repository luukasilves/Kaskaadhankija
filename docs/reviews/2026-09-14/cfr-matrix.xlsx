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0f7e1d93547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0ce39ef1ae94f63"/>
    <x:sheet xmlns:r="http://schemas.openxmlformats.org/officeDocument/2006/relationships" name="CFR matrix" sheetId="2" r:id="R514ad2b62aac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5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3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8A251E"/>
      </x:font>
      <x:fill>
        <x:patternFill patternType="solid">
          <x:bgColor rgb="FFFBE5E2"/>
        </x:patternFill>
      </x:fill>
    </x:dxf>
    <x:dxf>
      <x:font>
        <x:color rgb="FF745110"/>
      </x:font>
      <x:fill>
        <x:patternFill patternType="solid">
          <x:bgColor rgb="FFFFF0D0"/>
        </x:patternFill>
      </x:fill>
    </x:dxf>
    <x:dxf>
      <x:font>
        <x:color rgb="FF46576A"/>
      </x:font>
      <x:fill>
        <x:patternFill patternType="solid">
          <x:bgColor rgb="FFE9ED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06ebd8d664c7a" /><Relationship Type="http://schemas.openxmlformats.org/officeDocument/2006/relationships/theme" Target="/xl/theme/theme1.xml" Id="R56f9a4ff5b7d4e5e" /><Relationship Type="http://schemas.openxmlformats.org/officeDocument/2006/relationships/sharedStrings" Target="/xl/sharedStrings.xml" Id="R43cf7efc2b794224" /><Relationship Type="http://schemas.openxmlformats.org/officeDocument/2006/relationships/worksheet" Target="/xl/worksheets/sheet1.xml" Id="R20ce39ef1ae94f63" /><Relationship Type="http://schemas.openxmlformats.org/officeDocument/2006/relationships/worksheet" Target="/xl/worksheets/sheet2.xml" Id="R514ad2b62aac4a44" /></Relationships>
</file>

<file path=xl/tables/table1.xml><?xml version="1.0" encoding="utf-8"?>
<x:table xmlns:x="http://schemas.openxmlformats.org/spreadsheetml/2006/main" id="1" name="CFRRequirements" displayName="CFRRequirements" ref="A1:L68" headerRowCount="1" totalsRowCount="0" totalsRowShown="0">
  <x:tableColumns count="12">
    <x:tableColumn id="1" name="CFR ID"/>
    <x:tableColumn id="2" name="Source level"/>
    <x:tableColumn id="3" name="Assessment"/>
    <x:tableColumn id="4" name="Requirement"/>
    <x:tableColumn id="5" name="Evidence"/>
    <x:tableColumn id="6" name="Gap / next action"/>
    <x:tableColumn id="7" name="Proposed owner"/>
    <x:tableColumn id="8" name="Category"/>
    <x:tableColumn id="9" name="Active"/>
    <x:tableColumn id="10" name="Mandatory"/>
    <x:tableColumn id="11" name="Original Estonian rule"/>
    <x:tableColumn id="12" name="Sour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044e29c91a4e2f" /></Relationships>
</file>

<file path=xl/worksheets/sheet1.xml><?xml version="1.0" encoding="utf-8"?>
<x:worksheet xmlns:x="http://schemas.openxmlformats.org/spreadsheetml/2006/main">
  <x:sheetPr>
    <x:tabColor rgb="FF244A63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11.109999656677246" hidden="0" customWidth="1"/>
    <x:col min="3" max="3" width="11.109999656677246" hidden="0" customWidth="1"/>
    <x:col min="4" max="4" width="11.109999656677246" hidden="0" customWidth="1"/>
    <x:col min="5" max="5" width="2.7799999713897705" hidden="0" customWidth="1"/>
    <x:col min="6" max="6" width="17.780000686645508" hidden="0" customWidth="1"/>
    <x:col min="7" max="7" width="50.560001373291016" hidden="0" customWidth="1"/>
  </x:cols>
  <x:sheetData>
    <x:row r="1">
      <x:c r="A1" s="9"/>
      <x:c r="B1" s="9"/>
      <x:c r="C1" s="9"/>
      <x:c r="D1" s="9"/>
      <x:c r="E1" s="9"/>
      <x:c r="F1" s="9"/>
      <x:c r="G1" s="9"/>
    </x:row>
    <x:row r="2">
      <x:c r="A2" s="10" t="str">
        <x:v>Kaskaadhankija / CFR review</x:v>
      </x:c>
      <x:c r="B2" s="9"/>
      <x:c r="C2" s="9"/>
      <x:c r="D2" s="9"/>
      <x:c r="E2" s="9"/>
      <x:c r="F2" s="9"/>
      <x:c r="G2" s="9"/>
    </x:row>
    <x:row r="3">
      <x:c r="A3" s="9"/>
      <x:c r="B3" s="9"/>
      <x:c r="C3" s="9"/>
      <x:c r="D3" s="9"/>
      <x:c r="E3" s="9"/>
      <x:c r="F3" s="9"/>
      <x:c r="G3" s="9"/>
    </x:row>
    <x:row r="4">
      <x:c r="A4" s="9" t="str">
        <x:v>Reviewed 14 September 2026 · government IT handover</x:v>
      </x:c>
      <x:c r="B4" s="9"/>
      <x:c r="C4" s="9"/>
      <x:c r="D4" s="9"/>
      <x:c r="E4" s="9"/>
      <x:c r="F4" s="9"/>
      <x:c r="G4" s="9"/>
    </x:row>
    <x:row r="5">
      <x:c r="A5" s="9"/>
      <x:c r="B5" s="9"/>
      <x:c r="C5" s="9"/>
      <x:c r="D5" s="9"/>
      <x:c r="E5" s="9"/>
      <x:c r="F5" s="9"/>
      <x:c r="G5" s="9"/>
    </x:row>
    <x:row r="6" ht="28" customHeight="1">
      <x:c r="A6" s="13" t="str">
        <x:v>Assessment</x:v>
      </x:c>
      <x:c r="B6" s="13" t="str">
        <x:v>All entries</x:v>
      </x:c>
      <x:c r="C6" s="13" t="str">
        <x:v>Active</x:v>
      </x:c>
      <x:c r="D6" s="13" t="str">
        <x:v>Mandatory</x:v>
      </x:c>
      <x:c r="E6" s="9"/>
      <x:c r="F6" s="12" t="str">
        <x:v>Handover position</x:v>
      </x:c>
      <x:c r="G6" s="12" t="str">
        <x:v>Assessment</x:v>
      </x:c>
    </x:row>
    <x:row r="7" ht="55" customHeight="1">
      <x:c r="A7" s="9" t="str">
        <x:v>Met</x:v>
      </x:c>
      <x:c r="B7" s="15" t="n">
        <x:f>COUNTIF('CFR matrix'!$C$2:$C$68,A7)</x:f>
        <x:v>9</x:v>
      </x:c>
      <x:c r="C7" s="15" t="n">
        <x:f>COUNTIFS('CFR matrix'!$C$2:$C$68,A7,'CFR matrix'!$I$2:$I$68,"Yes")</x:f>
        <x:v>9</x:v>
      </x:c>
      <x:c r="D7" s="15" t="n">
        <x:f>COUNTIFS('CFR matrix'!$C$2:$C$68,A7,'CFR matrix'!$J$2:$J$68,"Yes")</x:f>
        <x:v>5</x:v>
      </x:c>
      <x:c r="E7" s="9"/>
      <x:c r="F7" s="17" t="str">
        <x:v>Current state</x:v>
      </x:c>
      <x:c r="G7" s="17" t="str">
        <x:v>Working pilot with a strong domain model and test suite.</x:v>
      </x:c>
    </x:row>
    <x:row r="8" ht="55" customHeight="1">
      <x:c r="A8" s="9" t="str">
        <x:v>Partially met</x:v>
      </x:c>
      <x:c r="B8" s="15" t="n">
        <x:f>COUNTIF('CFR matrix'!$C$2:$C$68,A8)</x:f>
        <x:v>27</x:v>
      </x:c>
      <x:c r="C8" s="15" t="n">
        <x:f>COUNTIFS('CFR matrix'!$C$2:$C$68,A8,'CFR matrix'!$I$2:$I$68,"Yes")</x:f>
        <x:v>26</x:v>
      </x:c>
      <x:c r="D8" s="15" t="n">
        <x:f>COUNTIFS('CFR matrix'!$C$2:$C$68,A8,'CFR matrix'!$J$2:$J$68,"Yes")</x:f>
        <x:v>5</x:v>
      </x:c>
      <x:c r="E8" s="9"/>
      <x:c r="F8" s="17" t="str">
        <x:v>Next milestone</x:v>
      </x:c>
      <x:c r="G8" s="17" t="str">
        <x:v>Ready for an IT handover discussion; production acceptance requires fixes and evidence.</x:v>
      </x:c>
    </x:row>
    <x:row r="9" ht="55" customHeight="1">
      <x:c r="A9" s="9" t="str">
        <x:v>Not met</x:v>
      </x:c>
      <x:c r="B9" s="15" t="n">
        <x:f>COUNTIF('CFR matrix'!$C$2:$C$68,A9)</x:f>
        <x:v>20</x:v>
      </x:c>
      <x:c r="C9" s="15" t="n">
        <x:f>COUNTIFS('CFR matrix'!$C$2:$C$68,A9,'CFR matrix'!$I$2:$I$68,"Yes")</x:f>
        <x:v>18</x:v>
      </x:c>
      <x:c r="D9" s="15" t="n">
        <x:f>COUNTIFS('CFR matrix'!$C$2:$C$68,A9,'CFR matrix'!$J$2:$J$68,"Yes")</x:f>
        <x:v>6</x:v>
      </x:c>
      <x:c r="E9" s="9"/>
      <x:c r="F9" s="17" t="str">
        <x:v>First fixes</x:v>
      </x:c>
      <x:c r="G9" s="17" t="str">
        <x:v>Deadline guard, notification ownership, durable mail recovery, protocol integrity, URL privacy and accessibility.</x:v>
      </x:c>
    </x:row>
    <x:row r="10" ht="55" customHeight="1">
      <x:c r="A10" s="9" t="str">
        <x:v>Unverified</x:v>
      </x:c>
      <x:c r="B10" s="15" t="n">
        <x:f>COUNTIF('CFR matrix'!$C$2:$C$68,A10)</x:f>
        <x:v>6</x:v>
      </x:c>
      <x:c r="C10" s="15" t="n">
        <x:f>COUNTIFS('CFR matrix'!$C$2:$C$68,A10,'CFR matrix'!$I$2:$I$68,"Yes")</x:f>
        <x:v>6</x:v>
      </x:c>
      <x:c r="D10" s="15" t="n">
        <x:f>COUNTIFS('CFR matrix'!$C$2:$C$68,A10,'CFR matrix'!$J$2:$J$68,"Yes")</x:f>
        <x:v>3</x:v>
      </x:c>
      <x:c r="E10" s="9"/>
      <x:c r="F10" s="17" t="str">
        <x:v>Agency decisions</x:v>
      </x:c>
      <x:c r="G10" s="17" t="str">
        <x:v>Identity, audit storage, availability exceptions, release controls and data governance.</x:v>
      </x:c>
    </x:row>
    <x:row r="11" ht="25" customHeight="1">
      <x:c r="A11" s="9" t="str">
        <x:v>Not applicable</x:v>
      </x:c>
      <x:c r="B11" s="15" t="n">
        <x:f>COUNTIF('CFR matrix'!$C$2:$C$68,A11)</x:f>
        <x:v>5</x:v>
      </x:c>
      <x:c r="C11" s="15" t="n">
        <x:f>COUNTIFS('CFR matrix'!$C$2:$C$68,A11,'CFR matrix'!$I$2:$I$68,"Yes")</x:f>
        <x:v>3</x:v>
      </x:c>
      <x:c r="D11" s="15" t="n">
        <x:f>COUNTIFS('CFR matrix'!$C$2:$C$68,A11,'CFR matrix'!$J$2:$J$68,"Yes")</x:f>
        <x:v>0</x:v>
      </x:c>
      <x:c r="E11" s="9"/>
      <x:c r="F11" s="9"/>
      <x:c r="G11" s="9"/>
    </x:row>
    <x:row r="12" ht="25" customHeight="1">
      <x:c r="A12" s="14" t="str">
        <x:v>Total</x:v>
      </x:c>
      <x:c r="B12" s="16" t="n">
        <x:f>SUM(B7:B11)</x:f>
        <x:v>67</x:v>
      </x:c>
      <x:c r="C12" s="16" t="n">
        <x:f>SUM(C7:C11)</x:f>
        <x:v>62</x:v>
      </x:c>
      <x:c r="D12" s="16" t="n">
        <x:f>SUM(D7:D11)</x:f>
        <x:v>19</x:v>
      </x:c>
      <x:c r="E12" s="9"/>
      <x:c r="F12" s="9"/>
      <x:c r="G12" s="9"/>
    </x:row>
    <x:row r="13" ht="37" customHeight="1">
      <x:c r="A13" s="9"/>
      <x:c r="B13" s="9"/>
      <x:c r="C13" s="9"/>
      <x:c r="D13" s="9"/>
      <x:c r="E13" s="9"/>
      <x:c r="F13" s="17" t="str">
        <x:v>Repository commit</x:v>
      </x:c>
      <x:c r="G13" s="17" t="str">
        <x:v>65d2792b01f5f6d90691443af4ce11d260551fd0</x:v>
      </x:c>
    </x:row>
    <x:row r="14" ht="37" customHeight="1">
      <x:c r="A14" s="9"/>
      <x:c r="B14" s="9"/>
      <x:c r="C14" s="9"/>
      <x:c r="D14" s="9"/>
      <x:c r="E14" s="9"/>
      <x:c r="F14" s="17" t="str">
        <x:v>CFR file commit</x:v>
      </x:c>
      <x:c r="G14" s="17" t="str">
        <x:v>4d8b69cb1777952f92310adda22edb95bace4467</x:v>
      </x:c>
    </x:row>
    <x:row r="15" ht="37" customHeight="1">
      <x:c r="A15" s="14" t="str">
        <x:v>Assessment method</x:v>
      </x:c>
      <x:c r="B15" s="9"/>
      <x:c r="C15" s="9"/>
      <x:c r="D15" s="9"/>
      <x:c r="E15" s="9"/>
      <x:c r="F15" s="17" t="str">
        <x:v>CFR date</x:v>
      </x:c>
      <x:c r="G15" s="17" t="str">
        <x:v>2022-12-01; preserve original levels; assess current obligations separately.</x:v>
      </x:c>
    </x:row>
    <x:row r="16" ht="37" customHeight="1">
      <x:c r="A16" s="9" t="str">
        <x:v>Active excludes four draft entries and one deprecated entry.</x:v>
      </x:c>
      <x:c r="B16" s="9"/>
      <x:c r="C16" s="9"/>
      <x:c r="D16" s="9"/>
      <x:c r="E16" s="9"/>
      <x:c r="F16" s="17" t="str">
        <x:v>Source baseline</x:v>
      </x:c>
      <x:c r="G16" s="17" t="str">
        <x:v>https://koodivaramu.eesti.ee/e-gov/cfr</x:v>
      </x:c>
    </x:row>
    <x:row r="17" ht="37" customHeight="1">
      <x:c r="A17" s="9" t="str">
        <x:v>Mandatory includes 18 required entries and #18 labelled kohustus.</x:v>
      </x:c>
      <x:c r="B17" s="9"/>
      <x:c r="C17" s="9"/>
      <x:c r="D17" s="9"/>
      <x:c r="E17" s="9"/>
      <x:c r="F17" s="17" t="str">
        <x:v>Companion report</x:v>
      </x:c>
      <x:c r="G17" s="17" t="str">
        <x:v>independent-review.md: findings, tests, caveats and acceptance sequence.</x:v>
      </x:c>
    </x:row>
    <x:row r="18" ht="37" customHeight="1">
      <x:c r="A18" s="9" t="str">
        <x:v>Met means supported by the reviewed evidence, within stated scope.</x:v>
      </x:c>
      <x:c r="B18" s="9"/>
      <x:c r="C18" s="9"/>
      <x:c r="D18" s="9"/>
      <x:c r="E18" s="9"/>
      <x:c r="F18" s="17" t="str">
        <x:v>Review date</x:v>
      </x:c>
      <x:c r="G18" s="17" t="str">
        <x:v>2026-09-14</x:v>
      </x:c>
    </x:row>
    <x:row r="19" ht="37" customHeight="1">
      <x:c r="A19" s="9" t="str">
        <x:v>Partial means some implementation exists and gaps remain.</x:v>
      </x:c>
      <x:c r="B19" s="9"/>
      <x:c r="C19" s="9"/>
      <x:c r="D19" s="9"/>
      <x:c r="E19" s="9"/>
      <x:c r="F19" s="17" t="str">
        <x:v>Review model</x:v>
      </x:c>
      <x:c r="G19" s="17" t="str">
        <x:v>GPT-6 Astra (gpt-6-astra), via OpenAI Codex</x:v>
      </x:c>
    </x:row>
    <x:row r="20" ht="37" customHeight="1">
      <x:c r="A20" s="9" t="str">
        <x:v>Unverified means the necessary evidence was not available.</x:v>
      </x:c>
      <x:c r="B20" s="9"/>
      <x:c r="C20" s="9"/>
      <x:c r="D20" s="9"/>
      <x:c r="E20" s="9"/>
      <x:c r="F20" s="17" t="str">
        <x:v>Published evidence</x:v>
      </x:c>
      <x:c r="G20" s="17" t="str">
        <x:v>evidence-summary.md maps local evidence identifiers to reviewed results.</x:v>
      </x:c>
    </x:row>
    <x:row r="21" ht="22" customHeight="1">
      <x:c r="A21" s="9" t="str">
        <x:v>Not applicable is conditional on the present service boundary.</x:v>
      </x:c>
      <x:c r="B21" s="9"/>
      <x:c r="C21" s="9"/>
      <x:c r="D21" s="9"/>
      <x:c r="E21" s="9"/>
      <x:c r="F21" s="9"/>
      <x:c r="G21" s="9"/>
    </x:row>
    <x:row r="22" ht="22" customHeight="1">
      <x:c r="A22" s="9" t="str">
        <x:v>Counts describe evidence; they are not a certification percentage.</x:v>
      </x:c>
      <x:c r="B22" s="9"/>
      <x:c r="C22" s="9"/>
      <x:c r="D22" s="9"/>
      <x:c r="E22" s="9"/>
      <x:c r="F22" s="9"/>
      <x:c r="G22" s="9"/>
    </x:row>
    <x:row r="23" ht="22" customHeight="1">
      <x:c r="A23" s="9" t="str">
        <x:v>Filter the CFR matrix by level, assessment, category or owner.</x:v>
      </x:c>
      <x:c r="B23" s="9"/>
      <x:c r="C23" s="9"/>
      <x:c r="D23" s="9"/>
      <x:c r="E23" s="9"/>
      <x:c r="F23" s="9"/>
      <x:c r="G23" s="9"/>
    </x:row>
    <x:row r="24" ht="22" customHeight="1">
      <x:c r="A24" s="9" t="str">
        <x:v>Owner labels are proposed roles, not assigned responsibilities.</x:v>
      </x:c>
      <x:c r="B24" s="9"/>
      <x:c r="C24" s="9"/>
      <x:c r="D24" s="9"/>
      <x:c r="E24" s="9"/>
      <x:c r="F24" s="9"/>
      <x:c r="G24" s="9"/>
    </x:row>
    <x:row r="25">
      <x:c r="A25" s="9"/>
      <x:c r="B25" s="9"/>
      <x:c r="C25" s="9"/>
      <x:c r="D25" s="9"/>
      <x:c r="E25" s="9"/>
      <x:c r="F25" s="9"/>
      <x:c r="G25" s="9"/>
    </x:row>
    <x:row r="26">
      <x:c r="A26" s="9"/>
      <x:c r="B26" s="9"/>
      <x:c r="C26" s="9"/>
      <x:c r="D26" s="9"/>
      <x:c r="E26" s="9"/>
      <x:c r="F26" s="9"/>
      <x:c r="G26" s="9"/>
    </x:row>
    <x:row r="27">
      <x:c r="A27" s="9"/>
      <x:c r="B27" s="9"/>
      <x:c r="C27" s="9"/>
      <x:c r="D27" s="9"/>
      <x:c r="E27" s="9"/>
      <x:c r="F27" s="9"/>
      <x:c r="G27" s="9"/>
    </x:row>
    <x:row r="28">
      <x:c r="A28" s="9"/>
      <x:c r="B28" s="9"/>
      <x:c r="C28" s="9"/>
      <x:c r="D28" s="9"/>
      <x:c r="E28" s="9"/>
      <x:c r="F28" s="9"/>
      <x:c r="G28" s="9"/>
    </x:row>
    <x:row r="29">
      <x:c r="A29" s="9"/>
      <x:c r="B29" s="9"/>
      <x:c r="C29" s="9"/>
      <x:c r="D29" s="9"/>
      <x:c r="E29" s="9"/>
      <x:c r="F29" s="9"/>
      <x:c r="G29" s="9"/>
    </x:row>
    <x:row r="30">
      <x:c r="A30" s="9"/>
      <x:c r="B30" s="9"/>
      <x:c r="C30" s="9"/>
      <x:c r="D30" s="9"/>
      <x:c r="E30" s="9"/>
      <x:c r="F30" s="9"/>
      <x:c r="G3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A63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6.110000133514404" hidden="0" customWidth="1"/>
    <x:col min="2" max="2" width="11.670000076293945" hidden="0" customWidth="1"/>
    <x:col min="3" max="3" width="13.329999923706055" hidden="0" customWidth="1"/>
    <x:col min="4" max="4" width="28.889999389648438" hidden="0" customWidth="1"/>
    <x:col min="5" max="5" width="46.66999816894531" hidden="0" customWidth="1"/>
    <x:col min="6" max="6" width="54.439998626708984" hidden="0" customWidth="1"/>
    <x:col min="7" max="7" width="17.219999313354492" hidden="0" customWidth="1"/>
    <x:col min="8" max="8" width="11.670000076293945" hidden="0" customWidth="1"/>
    <x:col min="9" max="9" width="7.78000020980835" hidden="0" customWidth="1"/>
    <x:col min="10" max="10" width="9.4399995803833" hidden="0" customWidth="1"/>
    <x:col min="11" max="11" width="47.779998779296875" hidden="0" customWidth="1"/>
    <x:col min="12" max="12" width="54.439998626708984" hidden="0" customWidth="1"/>
  </x:cols>
  <x:sheetData>
    <x:row r="1" ht="32" customHeight="1">
      <x:c r="A1" s="7" t="str">
        <x:v>CFR ID</x:v>
      </x:c>
      <x:c r="B1" s="7" t="str">
        <x:v>Source level</x:v>
      </x:c>
      <x:c r="C1" s="7" t="str">
        <x:v>Assessment</x:v>
      </x:c>
      <x:c r="D1" s="7" t="str">
        <x:v>Requirement</x:v>
      </x:c>
      <x:c r="E1" s="7" t="str">
        <x:v>Evidence</x:v>
      </x:c>
      <x:c r="F1" s="7" t="str">
        <x:v>Gap / next action</x:v>
      </x:c>
      <x:c r="G1" s="7" t="str">
        <x:v>Proposed owner</x:v>
      </x:c>
      <x:c r="H1" s="7" t="str">
        <x:v>Category</x:v>
      </x:c>
      <x:c r="I1" s="7" t="str">
        <x:v>Active</x:v>
      </x:c>
      <x:c r="J1" s="7" t="str">
        <x:v>Mandatory</x:v>
      </x:c>
      <x:c r="K1" s="7" t="str">
        <x:v>Original Estonian rule</x:v>
      </x:c>
      <x:c r="L1" s="7" t="str">
        <x:v>Sources</x:v>
      </x:c>
    </x:row>
    <x:row r="2" ht="125" customHeight="1">
      <x:c r="A2" s="8" t="n">
        <x:v>1</x:v>
      </x:c>
      <x:c r="B2" s="3" t="str">
        <x:v>required</x:v>
      </x:c>
      <x:c r="C2" s="3" t="str">
        <x:v>Met</x:v>
      </x:c>
      <x:c r="D2" s="3" t="str">
        <x:v>Version source in Git</x:v>
      </x:c>
      <x:c r="E2" s="3" t="str">
        <x:v>Git repository; pinned main commit; drizzle/ migrations and migration tests.</x:v>
      </x:c>
      <x:c r="F2" s="3" t="str">
        <x:v>Retain complete history and migration artifacts in the receiving organisation.</x:v>
      </x:c>
      <x:c r="G2" s="3" t="str">
        <x:v>Engineering</x:v>
      </x:c>
      <x:c r="H2" s="3" t="str">
        <x:v>development</x:v>
      </x:c>
      <x:c r="I2" s="3" t="str">
        <x:v>Yes</x:v>
      </x:c>
      <x:c r="J2" s="3" t="str">
        <x:v>Yes</x:v>
      </x:c>
      <x:c r="K2" s="3" t="str">
        <x:v>Rakenduse kood on versioneeritud kasutades Git'i.</x:v>
      </x:c>
      <x:c r="L2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3" ht="125" customHeight="1">
      <x:c r="A3" s="8" t="n">
        <x:v>2</x:v>
      </x:c>
      <x:c r="B3" s="3" t="str">
        <x:v>required</x:v>
      </x:c>
      <x:c r="C3" s="3" t="str">
        <x:v>Met</x:v>
      </x:c>
      <x:c r="D3" s="3" t="str">
        <x:v>Maintainable and understandable source</x:v>
      </x:c>
      <x:c r="E3" s="3" t="str">
        <x:v>src/domain/allocate.ts; src/server/rounds/engine.ts; docs/tehniline-ulevaade.md; rule-linked tests.</x:v>
      </x:c>
      <x:c r="F3" s="3" t="str">
        <x:v>Strong domain separation and comments. Split the growing engine/framework modules by lifecycle when next changing them; keep specifications current.</x:v>
      </x:c>
      <x:c r="G3" s="3" t="str">
        <x:v>Engineering</x:v>
      </x:c>
      <x:c r="H3" s="3" t="str">
        <x:v>development</x:v>
      </x:c>
      <x:c r="I3" s="3" t="str">
        <x:v>Yes</x:v>
      </x:c>
      <x:c r="J3" s="3" t="str">
        <x:v>Yes</x:v>
      </x:c>
      <x:c r="K3" s="3" t="str">
        <x:v>Rakenduse lähtekood on kirjutatud selgusega, mis võimaldab erialast ettevalmistust omaval tarkvaraarendajal süsteemi edasi arendada.</x:v>
      </x:c>
      <x:c r="L3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4" ht="125" customHeight="1">
      <x:c r="A4" s="8" t="n">
        <x:v>3</x:v>
      </x:c>
      <x:c r="B4" s="3" t="str">
        <x:v>recommended</x:v>
      </x:c>
      <x:c r="C4" s="3" t="str">
        <x:v>Not met</x:v>
      </x:c>
      <x:c r="D4" s="3" t="str">
        <x:v>Publish reusable code in e-gov repository</x:v>
      </x:c>
      <x:c r="E4" s="3" t="str">
        <x:v>Source is on GitHub; no e-gov mirror is documented.</x:v>
      </x:c>
      <x:c r="F4" s="3" t="str">
        <x:v>Agree licence and mirror to koodivaramu where reuse is intended.</x:v>
      </x:c>
      <x:c r="G4" s="3" t="str">
        <x:v>Service owner</x:v>
      </x:c>
      <x:c r="H4" s="3" t="str">
        <x:v>development</x:v>
      </x:c>
      <x:c r="I4" s="3" t="str">
        <x:v>Yes</x:v>
      </x:c>
      <x:c r="J4" s="3" t="str">
        <x:v>No</x:v>
      </x:c>
      <x:c r="K4" s="3" t="str">
        <x:v>Taaskasutatavalt disainitud rakenduse kood on e-riigi koodivaramus (koodivaramu.eesti.ee).</x:v>
      </x:c>
      <x:c r="L4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5" ht="125" customHeight="1">
      <x:c r="A5" s="8" t="n">
        <x:v>4</x:v>
      </x:c>
      <x:c r="B5" s="3" t="str">
        <x:v>expected</x:v>
      </x:c>
      <x:c r="C5" s="3" t="str">
        <x:v>Not met</x:v>
      </x:c>
      <x:c r="D5" s="3" t="str">
        <x:v>Build without external dependencies being available</x:v>
      </x:c>
      <x:c r="E5" s="3" t="str">
        <x:v>Dockerfile; pnpm-lock.yaml; .github/workflows/ci.yml fetch public packages/images/actions.</x:v>
      </x:c>
      <x:c r="F5" s="3" t="str">
        <x:v>Provide agency-controlled source, package and base-image mirrors; demonstrate a disconnected build. Lockfiles alone are insufficient.</x:v>
      </x:c>
      <x:c r="G5" s="3" t="str">
        <x:v>Platform</x:v>
      </x:c>
      <x:c r="H5" s="3" t="str">
        <x:v>development</x:v>
      </x:c>
      <x:c r="I5" s="3" t="str">
        <x:v>Yes</x:v>
      </x:c>
      <x:c r="J5" s="3" t="str">
        <x:v>No</x:v>
      </x:c>
      <x:c r="K5" s="3" t="str">
        <x:v>Rakenduste ehitamine pole väliselt sõltuv.</x:v>
      </x:c>
      <x:c r="L5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6" ht="125" customHeight="1">
      <x:c r="A6" s="8" t="n">
        <x:v>5</x:v>
      </x:c>
      <x:c r="B6" s="3" t="str">
        <x:v>expected</x:v>
      </x:c>
      <x:c r="C6" s="3" t="str">
        <x:v>Not met</x:v>
      </x:c>
      <x:c r="D6" s="3" t="str">
        <x:v>Use a TIOBE top-25 programming language</x:v>
      </x:c>
      <x:c r="E6" s="3" t="str">
        <x:v>TypeScript source; TIOBE September 2026 lists TypeScript at 39; JavaScript is within top 25.</x:v>
      </x:c>
      <x:c r="F6" s="3" t="str">
        <x:v>Literal source-language mismatch. Seek an explicit TypeScript exception supported by recruitment and maintenance evidence; this is not a reason to rewrite the application.</x:v>
      </x:c>
      <x:c r="G6" s="3" t="str">
        <x:v>Architecture</x:v>
      </x:c>
      <x:c r="H6" s="3" t="str">
        <x:v>development</x:v>
      </x:c>
      <x:c r="I6" s="3" t="str">
        <x:v>Yes</x:v>
      </x:c>
      <x:c r="J6" s="3" t="str">
        <x:v>No</x:v>
      </x:c>
      <x:c r="K6" s="3" t="str">
        <x:v>Rakenduse arenduses ei kasutata programmeerimiskeeli, mis pole Top 25 TIOBE index'is.</x:v>
      </x:c>
      <x:c r="L6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 | https://www.tiobe.com/tiobe-index/</x:v>
      </x:c>
    </x:row>
    <x:row r="7" ht="125" customHeight="1">
      <x:c r="A7" s="8" t="n">
        <x:v>6</x:v>
      </x:c>
      <x:c r="B7" s="3" t="str">
        <x:v>required</x:v>
      </x:c>
      <x:c r="C7" s="3" t="str">
        <x:v>Not met</x:v>
      </x:c>
      <x:c r="D7" s="3" t="str">
        <x:v>Declare software licence and rights</x:v>
      </x:c>
      <x:c r="E7" s="3" t="str">
        <x:v>No LICENSE/LICENCE/COPYING file, package licence or general source licence headers found. basic-secret-license-scan.json.</x:v>
      </x:c>
      <x:c r="F7" s="3" t="str">
        <x:v>Owner must establish rights and select a suitable licence; include third-party notices. A public GitHub repository is not a licence.</x:v>
      </x:c>
      <x:c r="G7" s="3" t="str">
        <x:v>Service owner / Legal</x:v>
      </x:c>
      <x:c r="H7" s="3" t="str">
        <x:v>development</x:v>
      </x:c>
      <x:c r="I7" s="3" t="str">
        <x:v>Yes</x:v>
      </x:c>
      <x:c r="J7" s="3" t="str">
        <x:v>Yes</x:v>
      </x:c>
      <x:c r="K7" s="3" t="str">
        <x:v>Rakenduse tarkvara markeerida litsentsiga.</x:v>
      </x:c>
      <x:c r="L7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8" ht="125" customHeight="1">
      <x:c r="A8" s="8" t="n">
        <x:v>7</x:v>
      </x:c>
      <x:c r="B8" s="3" t="str">
        <x:v>expected</x:v>
      </x:c>
      <x:c r="C8" s="3" t="str">
        <x:v>Not met</x:v>
      </x:c>
      <x:c r="D8" s="3" t="str">
        <x:v>Component end of life at least five years away</x:v>
      </x:c>
      <x:c r="E8" s="3" t="str">
        <x:v>Dockerfile and CI use Node 22; official Node schedule gives EOL 2027-04-30.</x:v>
      </x:c>
      <x:c r="F8" s="3" t="str">
        <x:v>Document supported component inventory and funded upgrades; agree how the literal five-year requirement is satisfied or excepted. The current runtime expires before framework end in December 2027.</x:v>
      </x:c>
      <x:c r="G8" s="3" t="str">
        <x:v>Engineering / Architecture</x:v>
      </x:c>
      <x:c r="H8" s="3" t="str">
        <x:v>development</x:v>
      </x:c>
      <x:c r="I8" s="3" t="str">
        <x:v>Yes</x:v>
      </x:c>
      <x:c r="J8" s="3" t="str">
        <x:v>No</x:v>
      </x:c>
      <x:c r="K8" s="3" t="str">
        <x:v>Kõikide arendamisel kasutatavate komponentide (rakenduse, andmebaasi, kolmanda osapoole omad) eluea lõpp (inglise k End-of-Life, EOL) ei tohi teadaolevalt olla vähem kui 5 aastat.</x:v>
      </x:c>
      <x:c r="L8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 | https://github.com/nodejs/Release</x:v>
      </x:c>
    </x:row>
    <x:row r="9" ht="125" customHeight="1">
      <x:c r="A9" s="8" t="n">
        <x:v>8</x:v>
      </x:c>
      <x:c r="B9" s="3" t="str">
        <x:v>expected</x:v>
      </x:c>
      <x:c r="C9" s="3" t="str">
        <x:v>Partially met</x:v>
      </x:c>
      <x:c r="D9" s="3" t="str">
        <x:v>Current recovery plans</x:v>
      </x:c>
      <x:c r="E9" s="3" t="str">
        <x:v>docs/juurutamine.md §7 has consistent SQLite backup and restore instructions; standalone restart test passed.</x:v>
      </x:c>
      <x:c r="F9" s="3" t="str">
        <x:v>Assign RPO/RTO, backup ownership, encryption and retention; execute a restore from independent backup. A process restart is not a backup recovery drill.</x:v>
      </x:c>
      <x:c r="G9" s="3" t="str">
        <x:v>Platform</x:v>
      </x:c>
      <x:c r="H9" s="3" t="str">
        <x:v>development</x:v>
      </x:c>
      <x:c r="I9" s="3" t="str">
        <x:v>Yes</x:v>
      </x:c>
      <x:c r="J9" s="3" t="str">
        <x:v>No</x:v>
      </x:c>
      <x:c r="K9" s="3" t="str">
        <x:v>Teenuse rakendustele eksisteerivad ajakohased taasteplaanid.</x:v>
      </x:c>
      <x:c r="L9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10" ht="125" customHeight="1">
      <x:c r="A10" s="8" t="n">
        <x:v>9</x:v>
      </x:c>
      <x:c r="B10" s="3" t="str">
        <x:v>required</x:v>
      </x:c>
      <x:c r="C10" s="3" t="str">
        <x:v>Unverified</x:v>
      </x:c>
      <x:c r="D10" s="3" t="str">
        <x:v>Security testing before production</x:v>
      </x:c>
      <x:c r="E10" s="3" t="str">
        <x:v>Authentication tests and this independent review exist; no completed formal risk-based preproduction security assessment found.</x:v>
      </x:c>
      <x:c r="F10" s="3" t="str">
        <x:v>Commission and accept a scoped assessment after fixes, including deployed proxy/identity, authorization, uploads and incident controls.</x:v>
      </x:c>
      <x:c r="G10" s="3" t="str">
        <x:v>Security</x:v>
      </x:c>
      <x:c r="H10" s="3" t="str">
        <x:v>deployment</x:v>
      </x:c>
      <x:c r="I10" s="3" t="str">
        <x:v>Yes</x:v>
      </x:c>
      <x:c r="J10" s="3" t="str">
        <x:v>Yes</x:v>
      </x:c>
      <x:c r="K10" s="3" t="str">
        <x:v>Rakendus peab olema läbinud enne toodangusse minemist turvatestimise.</x:v>
      </x:c>
      <x:c r="L10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11" ht="125" customHeight="1">
      <x:c r="A11" s="8" t="n">
        <x:v>10</x:v>
      </x:c>
      <x:c r="B11" s="3" t="str">
        <x:v>required</x:v>
      </x:c>
      <x:c r="C11" s="3" t="str">
        <x:v>Not met</x:v>
      </x:c>
      <x:c r="D11" s="3" t="str">
        <x:v>No known vulnerabilities at production release without accepted exception</x:v>
      </x:c>
      <x:c r="E11" s="3" t="str">
        <x:v>Reproduced authorization/business-state weaknesses; dependency-audit.json reports 3 high and 9 moderate affected-package entries.</x:v>
      </x:c>
      <x:c r="F11" s="3" t="str">
        <x:v>Fix confirmed weaknesses, triage advisory reachability, patch applicable dependencies, scan image, and record any approved risk exceptions before production.</x:v>
      </x:c>
      <x:c r="G11" s="3" t="str">
        <x:v>Security / Engineering</x:v>
      </x:c>
      <x:c r="H11" s="3" t="str">
        <x:v>deployment</x:v>
      </x:c>
      <x:c r="I11" s="3" t="str">
        <x:v>Yes</x:v>
      </x:c>
      <x:c r="J11" s="3" t="str">
        <x:v>Yes</x:v>
      </x:c>
      <x:c r="K11" s="3" t="str">
        <x:v>Rakendus ei lähe toodangu-keskkonda, kui selles on avastatud turvalisuse nõrkuseid ja/või haavatavusi.</x:v>
      </x:c>
      <x:c r="L11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12" ht="125" customHeight="1">
      <x:c r="A12" s="8" t="n">
        <x:v>11</x:v>
      </x:c>
      <x:c r="B12" s="3" t="str">
        <x:v>expected</x:v>
      </x:c>
      <x:c r="C12" s="3" t="str">
        <x:v>Unverified</x:v>
      </x:c>
      <x:c r="D12" s="3" t="str">
        <x:v>Four-eyes code review before production</x:v>
      </x:c>
      <x:c r="E12" s="3" t="str">
        <x:v>Git history contains pull-request merges; repository protection and human approvals were not verified.</x:v>
      </x:c>
      <x:c r="F12" s="3" t="str">
        <x:v>Require independent human review and protected release branches; a merge commit alone does not establish four-eyes review.</x:v>
      </x:c>
      <x:c r="G12" s="3" t="str">
        <x:v>Engineering lead</x:v>
      </x:c>
      <x:c r="H12" s="3" t="str">
        <x:v>deployment</x:v>
      </x:c>
      <x:c r="I12" s="3" t="str">
        <x:v>Yes</x:v>
      </x:c>
      <x:c r="J12" s="3" t="str">
        <x:v>No</x:v>
      </x:c>
      <x:c r="K12" s="3" t="str">
        <x:v>Toodangusse ei lähe kood, mis pole läbinud koodi ülevaatamist (code review) minimaalselt nelja-silma printsiibi põhimõttel.</x:v>
      </x:c>
      <x:c r="L12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13" ht="125" customHeight="1">
      <x:c r="A13" s="8" t="n">
        <x:v>12</x:v>
      </x:c>
      <x:c r="B13" s="3" t="str">
        <x:v>required</x:v>
      </x:c>
      <x:c r="C13" s="3" t="str">
        <x:v>Partially met</x:v>
      </x:c>
      <x:c r="D13" s="3" t="str">
        <x:v>Failing tests block production release</x:v>
      </x:c>
      <x:c r="E13" s="3" t="str">
        <x:v>CI passes typecheck, 591 tests and build; deploy.yml runs separately on push and depends only on bootstrap.</x:v>
      </x:c>
      <x:c r="F13" s="3" t="str">
        <x:v>Make production deployment depend on successful checks for the same commit/artifact. Current Fly workflow targets test, so no failed production deployment is alleged.</x:v>
      </x:c>
      <x:c r="G13" s="3" t="str">
        <x:v>Platform / Engineering</x:v>
      </x:c>
      <x:c r="H13" s="3" t="str">
        <x:v>deployment</x:v>
      </x:c>
      <x:c r="I13" s="3" t="str">
        <x:v>Yes</x:v>
      </x:c>
      <x:c r="J13" s="3" t="str">
        <x:v>Yes</x:v>
      </x:c>
      <x:c r="K13" s="3" t="str">
        <x:v>Toodangu-keskkonda ei lähe kood, mille testid ebaõnnestuvad.</x:v>
      </x:c>
      <x:c r="L13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14" ht="125" customHeight="1">
      <x:c r="A14" s="8" t="n">
        <x:v>13</x:v>
      </x:c>
      <x:c r="B14" s="3" t="str">
        <x:v>expected</x:v>
      </x:c>
      <x:c r="C14" s="3" t="str">
        <x:v>Partially met</x:v>
      </x:c>
      <x:c r="D14" s="3" t="str">
        <x:v>Automated deployment</x:v>
      </x:c>
      <x:c r="E14" s="3" t="str">
        <x:v>Dockerfile, fly.toml and deploy.yml automate the test environment; government topology is described in docs/juurutamine.md.</x:v>
      </x:c>
      <x:c r="F14" s="3" t="str">
        <x:v>Deliver reviewed, reproducible manifests/pipeline for the actual government environment and its rollback procedure.</x:v>
      </x:c>
      <x:c r="G14" s="3" t="str">
        <x:v>Platform</x:v>
      </x:c>
      <x:c r="H14" s="3" t="str">
        <x:v>deployment</x:v>
      </x:c>
      <x:c r="I14" s="3" t="str">
        <x:v>Yes</x:v>
      </x:c>
      <x:c r="J14" s="3" t="str">
        <x:v>No</x:v>
      </x:c>
      <x:c r="K14" s="3" t="str">
        <x:v>Keskkondadesse tarkvara paigaldamine on automatiseeritud.</x:v>
      </x:c>
      <x:c r="L14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15" ht="125" customHeight="1">
      <x:c r="A15" s="8" t="n">
        <x:v>14</x:v>
      </x:c>
      <x:c r="B15" s="3" t="str">
        <x:v>recommended</x:v>
      </x:c>
      <x:c r="C15" s="3" t="str">
        <x:v>Not met</x:v>
      </x:c>
      <x:c r="D15" s="3" t="str">
        <x:v>Blue-green deployment without interruption</x:v>
      </x:c>
      <x:c r="E15" s="3" t="str">
        <x:v>docs/juurutamine.md specifies one instance and Recreate; SQLite file has a single application owner.</x:v>
      </x:c>
      <x:c r="F15" s="3" t="str">
        <x:v>Agree planned outage as an exception, or redesign persistence/jobs and prove safe blue-green operation if zero downtime is required.</x:v>
      </x:c>
      <x:c r="G15" s="3" t="str">
        <x:v>Architecture / Platform</x:v>
      </x:c>
      <x:c r="H15" s="3" t="str">
        <x:v>deployment</x:v>
      </x:c>
      <x:c r="I15" s="3" t="str">
        <x:v>Yes</x:v>
      </x:c>
      <x:c r="J15" s="3" t="str">
        <x:v>No</x:v>
      </x:c>
      <x:c r="K15" s="3" t="str">
        <x:v>Rakenduse tarne toodangu-keskkonda toimub sinine-roheline põhimõttel, ehk rakendusest sõltuva teenuse töö ei katke versiooniuuenduse puhul.</x:v>
      </x:c>
      <x:c r="L15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16" ht="125" customHeight="1">
      <x:c r="A16" s="8" t="n">
        <x:v>15</x:v>
      </x:c>
      <x:c r="B16" s="3" t="str">
        <x:v>recommended</x:v>
      </x:c>
      <x:c r="C16" s="3" t="str">
        <x:v>Partially met</x:v>
      </x:c>
      <x:c r="D16" s="3" t="str">
        <x:v>Semantic application and API versions</x:v>
      </x:c>
      <x:c r="E16" s="3" t="str">
        <x:v>package.json is 0.1.0; specification is v2.7; protocol schema and allocation algorithm have separate versions.</x:v>
      </x:c>
      <x:c r="F16" s="3" t="str">
        <x:v>Define release tags, changelog and compatibility policy. Distinguish app, specification, schema and algorithm versions.</x:v>
      </x:c>
      <x:c r="G16" s="3" t="str">
        <x:v>Engineering</x:v>
      </x:c>
      <x:c r="H16" s="3" t="str">
        <x:v>deployment</x:v>
      </x:c>
      <x:c r="I16" s="3" t="str">
        <x:v>Yes</x:v>
      </x:c>
      <x:c r="J16" s="3" t="str">
        <x:v>No</x:v>
      </x:c>
      <x:c r="K16" s="3" t="str">
        <x:v>Rakendus on versioneeritud kasutades semantilise versioneerimise põhimõtet.</x:v>
      </x:c>
      <x:c r="L16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17" ht="125" customHeight="1">
      <x:c r="A17" s="8" t="n">
        <x:v>16</x:v>
      </x:c>
      <x:c r="B17" s="3" t="str">
        <x:v>expected</x:v>
      </x:c>
      <x:c r="C17" s="3" t="str">
        <x:v>Partially met</x:v>
      </x:c>
      <x:c r="D17" s="3" t="str">
        <x:v>Automatic production monitoring and alerts</x:v>
      </x:c>
      <x:c r="E17" s="3" t="str">
        <x:v>/api/health and Fly health checks; operator documentation names log/health/disk alerts.</x:v>
      </x:c>
      <x:c r="F17" s="3" t="str">
        <x:v>Provide configured alerts with recipients and exercises, including overdue round closures, aged queued/failed mail, backup age and disk pressure.</x:v>
      </x:c>
      <x:c r="G17" s="3" t="str">
        <x:v>Platform</x:v>
      </x:c>
      <x:c r="H17" s="3" t="str">
        <x:v>deployment</x:v>
      </x:c>
      <x:c r="I17" s="3" t="str">
        <x:v>Yes</x:v>
      </x:c>
      <x:c r="J17" s="3" t="str">
        <x:v>No</x:v>
      </x:c>
      <x:c r="K17" s="3" t="str">
        <x:v>Toodangu keskkondades on rakendused on automaatselt monitooritud.</x:v>
      </x:c>
      <x:c r="L17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18" ht="125" customHeight="1">
      <x:c r="A18" s="8" t="n">
        <x:v>17</x:v>
      </x:c>
      <x:c r="B18" s="3" t="str">
        <x:v>draft</x:v>
      </x:c>
      <x:c r="C18" s="3" t="str">
        <x:v>Not met</x:v>
      </x:c>
      <x:c r="D18" s="3" t="str">
        <x:v>Correlation identifiers in component logs</x:v>
      </x:c>
      <x:c r="E18" s="3" t="str">
        <x:v>No request correlation-ID propagation or consistent structured logging found in src/server or app routes.</x:v>
      </x:c>
      <x:c r="F18" s="3" t="str">
        <x:v>Draft only: introduce request/event identifiers when central logging is implemented.</x:v>
      </x:c>
      <x:c r="G18" s="3" t="str">
        <x:v>Engineering</x:v>
      </x:c>
      <x:c r="H18" s="3" t="str">
        <x:v>architecture</x:v>
      </x:c>
      <x:c r="I18" s="3" t="str">
        <x:v>No</x:v>
      </x:c>
      <x:c r="J18" s="3" t="str">
        <x:v>No</x:v>
      </x:c>
      <x:c r="K18" s="3" t="str">
        <x:v>Rakenduse tehnilised komponendid logivad korrelatsiooni ID'd või genereerivad selle ise. Korrelatsiooni ID'd saadetakse iga edasise päringuga kaasa.</x:v>
      </x:c>
      <x:c r="L18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19" ht="125" customHeight="1">
      <x:c r="A19" s="8" t="n">
        <x:v>18</x:v>
      </x:c>
      <x:c r="B19" s="3" t="str">
        <x:v>kohustus</x:v>
      </x:c>
      <x:c r="C19" s="3" t="str">
        <x:v>Not met</x:v>
      </x:c>
      <x:c r="D19" s="3" t="str">
        <x:v>Authenticate through TARA unless explicitly justified</x:v>
      </x:c>
      <x:c r="E19" s="3" t="str">
        <x:v>src/server/auth/codes.ts implements email OTP; docs/juurutamine.md §9 treats TARA as future work.</x:v>
      </x:c>
      <x:c r="F19" s="3" t="str">
        <x:v>Use TARA/GovSSO or obtain a documented, approved exception. Map verified identities to independently maintained company representation. Source level is literally kohustus.</x:v>
      </x:c>
      <x:c r="G19" s="3" t="str">
        <x:v>Architecture / Security</x:v>
      </x:c>
      <x:c r="H19" s="3" t="str">
        <x:v>architecture</x:v>
      </x:c>
      <x:c r="I19" s="3" t="str">
        <x:v>Yes</x:v>
      </x:c>
      <x:c r="J19" s="3" t="str">
        <x:v>Yes</x:v>
      </x:c>
      <x:c r="K19" s="3" t="str">
        <x:v>Kasutajate autentimine käib läbi RIA TARA.</x:v>
      </x:c>
      <x:c r="L19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 | https://e-gov.github.io/TARA-Doku/</x:v>
      </x:c>
    </x:row>
    <x:row r="20" ht="125" customHeight="1">
      <x:c r="A20" s="8" t="n">
        <x:v>19</x:v>
      </x:c>
      <x:c r="B20" s="3" t="str">
        <x:v>expected</x:v>
      </x:c>
      <x:c r="C20" s="3" t="str">
        <x:v>Partially met</x:v>
      </x:c>
      <x:c r="D20" s="3" t="str">
        <x:v>Components enforce their own authorization</x:v>
      </x:c>
      <x:c r="E20" s="3" t="str">
        <x:v>Central buyerWrite/adminWrite/partnerWrite guards; browser-mutations-confirmed.json reproduces cross-partner markNotificationReadAction mutation.</x:v>
      </x:c>
      <x:c r="F20" s="3" t="str">
        <x:v>Constrain every object mutation to the authenticated subject and recipient; test direct Server Action requests across roles and organisations.</x:v>
      </x:c>
      <x:c r="G20" s="3" t="str">
        <x:v>Engineering</x:v>
      </x:c>
      <x:c r="H20" s="3" t="str">
        <x:v>architecture</x:v>
      </x:c>
      <x:c r="I20" s="3" t="str">
        <x:v>Yes</x:v>
      </x:c>
      <x:c r="J20" s="3" t="str">
        <x:v>No</x:v>
      </x:c>
      <x:c r="K20" s="3" t="str">
        <x:v>Rakenduse tehnilised komponendid kaitsevad iseennast ja valideerivad nende poole pöördunud kasutaja või tehnilise teenuse õiguseid.</x:v>
      </x:c>
      <x:c r="L20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21" ht="125" customHeight="1">
      <x:c r="A21" s="8" t="n">
        <x:v>20</x:v>
      </x:c>
      <x:c r="B21" s="3" t="str">
        <x:v>expected</x:v>
      </x:c>
      <x:c r="C21" s="3" t="str">
        <x:v>Not met</x:v>
      </x:c>
      <x:c r="D21" s="3" t="str">
        <x:v>Automatically generated API documentation</x:v>
      </x:c>
      <x:c r="E21" s="3" t="str">
        <x:v>Next Server Actions and file/health routes; no generated OpenAPI or equivalent contract found.</x:v>
      </x:c>
      <x:c r="F21" s="3" t="str">
        <x:v>Document reusable service contracts and generate API documentation where integrations are exposed. Agree scope for framework-internal actions.</x:v>
      </x:c>
      <x:c r="G21" s="3" t="str">
        <x:v>Engineering / Architecture</x:v>
      </x:c>
      <x:c r="H21" s="3" t="str">
        <x:v>architecture</x:v>
      </x:c>
      <x:c r="I21" s="3" t="str">
        <x:v>Yes</x:v>
      </x:c>
      <x:c r="J21" s="3" t="str">
        <x:v>No</x:v>
      </x:c>
      <x:c r="K21" s="3" t="str">
        <x:v>Tehniliste komponentide API'del eksisteerib automaatselt genereeritud dokumentatsioon.</x:v>
      </x:c>
      <x:c r="L21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22" ht="125" customHeight="1">
      <x:c r="A22" s="8" t="n">
        <x:v>21</x:v>
      </x:c>
      <x:c r="B22" s="3" t="str">
        <x:v>expected</x:v>
      </x:c>
      <x:c r="C22" s="3" t="str">
        <x:v>Partially met</x:v>
      </x:c>
      <x:c r="D22" s="3" t="str">
        <x:v>Domain-driven design and autonomous microservices</x:v>
      </x:c>
      <x:c r="E22" s="3" t="str">
        <x:v>Pure domain layer and clear domain concepts; deployed as one Next process and SQLite database.</x:v>
      </x:c>
      <x:c r="F22" s="3" t="str">
        <x:v>Domain design is present; autonomous microservices are absent. Seek a justified modular-monolith exception for this small workload before considering service extraction.</x:v>
      </x:c>
      <x:c r="G22" s="3" t="str">
        <x:v>Architecture</x:v>
      </x:c>
      <x:c r="H22" s="3" t="str">
        <x:v>architecture</x:v>
      </x:c>
      <x:c r="I22" s="3" t="str">
        <x:v>Yes</x:v>
      </x:c>
      <x:c r="J22" s="3" t="str">
        <x:v>No</x:v>
      </x:c>
      <x:c r="K22" s="3" t="str">
        <x:v>Rakendused on disainitud ja arendatud domeenist juhinduva disaini (domain driven design) ja mikroteenuste arhitektuuri põhimõtteid jälgides.</x:v>
      </x:c>
      <x:c r="L22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23" ht="125" customHeight="1">
      <x:c r="A23" s="8" t="n">
        <x:v>22</x:v>
      </x:c>
      <x:c r="B23" s="3" t="str">
        <x:v>expected</x:v>
      </x:c>
      <x:c r="C23" s="3" t="str">
        <x:v>Not applicable</x:v>
      </x:c>
      <x:c r="D23" s="3" t="str">
        <x:v>Inter-system data exchange over X-tee</x:v>
      </x:c>
      <x:c r="E23" s="3" t="str">
        <x:v>No runtime registry or other business-system integration; only SMTP and manual workbook transfer currently.</x:v>
      </x:c>
      <x:c r="F23" s="3" t="str">
        <x:v>Reassess if RHR, registries, document management or other government-system integration enters scope. No reason to add an unused X-tee connection.</x:v>
      </x:c>
      <x:c r="G23" s="3" t="str">
        <x:v>Architecture</x:v>
      </x:c>
      <x:c r="H23" s="3" t="str">
        <x:v>architecture</x:v>
      </x:c>
      <x:c r="I23" s="3" t="str">
        <x:v>Yes</x:v>
      </x:c>
      <x:c r="J23" s="3" t="str">
        <x:v>No</x:v>
      </x:c>
      <x:c r="K23" s="3" t="str">
        <x:v>Infosüsteemide vaheline andmevahetus toimub üle X-tee.</x:v>
      </x:c>
      <x:c r="L23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24" ht="125" customHeight="1">
      <x:c r="A24" s="8" t="n">
        <x:v>23</x:v>
      </x:c>
      <x:c r="B24" s="3" t="str">
        <x:v>expected</x:v>
      </x:c>
      <x:c r="C24" s="3" t="str">
        <x:v>Partially met</x:v>
      </x:c>
      <x:c r="D24" s="3" t="str">
        <x:v>Separate UI and reusable service layer via API</x:v>
      </x:c>
      <x:c r="E24" s="3" t="str">
        <x:v>src/domain, src/server and src/app separate responsibilities; Next Server Actions bind interfaces to the web application.</x:v>
      </x:c>
      <x:c r="F24" s="3" t="str">
        <x:v>Retain domain separation; expose stable service APIs where a second UI or external consumer is required, or agree the limited reuse scope.</x:v>
      </x:c>
      <x:c r="G24" s="3" t="str">
        <x:v>Architecture / Engineering</x:v>
      </x:c>
      <x:c r="H24" s="3" t="str">
        <x:v>architecture</x:v>
      </x:c>
      <x:c r="I24" s="3" t="str">
        <x:v>Yes</x:v>
      </x:c>
      <x:c r="J24" s="3" t="str">
        <x:v>No</x:v>
      </x:c>
      <x:c r="K24" s="3" t="str">
        <x:v>Kasutajaliides ja teenuse funktsionaalsus on loogiliselt eristatud kihid ja suhtlevad üle API. Äriloogilised tehnilised komponendid on kasutatavad erinevate kasutajaliideste poolt.</x:v>
      </x:c>
      <x:c r="L24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25" ht="125" customHeight="1">
      <x:c r="A25" s="8" t="n">
        <x:v>24</x:v>
      </x:c>
      <x:c r="B25" s="3" t="str">
        <x:v>expected</x:v>
      </x:c>
      <x:c r="C25" s="3" t="str">
        <x:v>Not met</x:v>
      </x:c>
      <x:c r="D25" s="3" t="str">
        <x:v>Reusable REST API</x:v>
      </x:c>
      <x:c r="E25" s="3" t="str">
        <x:v>/api/health exists; procurement operations use Next Server Actions, not a versioned reusable REST API.</x:v>
      </x:c>
      <x:c r="F25" s="3" t="str">
        <x:v>Define required integration/export endpoints, authorization and semantics; add REST contracts or obtain a scoped exception.</x:v>
      </x:c>
      <x:c r="G25" s="3" t="str">
        <x:v>Architecture / Engineering</x:v>
      </x:c>
      <x:c r="H25" s="3" t="str">
        <x:v>architecture</x:v>
      </x:c>
      <x:c r="I25" s="3" t="str">
        <x:v>Yes</x:v>
      </x:c>
      <x:c r="J25" s="3" t="str">
        <x:v>No</x:v>
      </x:c>
      <x:c r="K25" s="3" t="str">
        <x:v>Tehnilised komponendid avaldavad taaskasutuseks REST API</x:v>
      </x:c>
      <x:c r="L25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26" ht="125" customHeight="1">
      <x:c r="A26" s="8" t="n">
        <x:v>25</x:v>
      </x:c>
      <x:c r="B26" s="3" t="str">
        <x:v>recommended</x:v>
      </x:c>
      <x:c r="C26" s="3" t="str">
        <x:v>Partially met</x:v>
      </x:c>
      <x:c r="D26" s="3" t="str">
        <x:v>Client UI state and stateless services</x:v>
      </x:c>
      <x:c r="E26" s="3" t="str">
        <x:v>Client components hold form state; sessions, drafts and business records persist in SQLite; in-process jobs and mail outbox remain.</x:v>
      </x:c>
      <x:c r="F26" s="3" t="str">
        <x:v>Document which state is durable domain data versus UI state; remove instance-local dispatch reliance before adding replicas.</x:v>
      </x:c>
      <x:c r="G26" s="3" t="str">
        <x:v>Architecture</x:v>
      </x:c>
      <x:c r="H26" s="3" t="str">
        <x:v>architecture</x:v>
      </x:c>
      <x:c r="I26" s="3" t="str">
        <x:v>Yes</x:v>
      </x:c>
      <x:c r="J26" s="3" t="str">
        <x:v>No</x:v>
      </x:c>
      <x:c r="K26" s="3" t="str">
        <x:v>Kasutajaliidese olekut (state) hoitakse kliendi liidese poolel ja teenused on ise olekuta.</x:v>
      </x:c>
      <x:c r="L26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27" ht="125" customHeight="1">
      <x:c r="A27" s="8" t="n">
        <x:v>26</x:v>
      </x:c>
      <x:c r="B27" s="3" t="str">
        <x:v>expected</x:v>
      </x:c>
      <x:c r="C27" s="3" t="str">
        <x:v>Partially met</x:v>
      </x:c>
      <x:c r="D27" s="3" t="str">
        <x:v>Cloud suitability including replicas and scaling</x:v>
      </x:c>
      <x:c r="E27" s="3" t="str">
        <x:v>Container, environment configuration and persistent volume exist. Deployment explicitly requires exactly one instance, no scale-to-zero and Recreate.</x:v>
      </x:c>
      <x:c r="F27" s="3" t="str">
        <x:v>Does not satisfy the stated multi-instance/autoscaling/two-site requirements. Agree availability exception or move to shared managed persistence plus safe distributed job/queue coordination.</x:v>
      </x:c>
      <x:c r="G27" s="3" t="str">
        <x:v>Architecture / Platform</x:v>
      </x:c>
      <x:c r="H27" s="3" t="str">
        <x:v>architecture</x:v>
      </x:c>
      <x:c r="I27" s="3" t="str">
        <x:v>Yes</x:v>
      </x:c>
      <x:c r="J27" s="3" t="str">
        <x:v>No</x:v>
      </x:c>
      <x:c r="K27" s="3" t="str">
        <x:v>Rakendus on pilvekõlbulik.</x:v>
      </x:c>
      <x:c r="L27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28" ht="125" customHeight="1">
      <x:c r="A28" s="8" t="n">
        <x:v>27</x:v>
      </x:c>
      <x:c r="B28" s="3" t="str">
        <x:v>expected</x:v>
      </x:c>
      <x:c r="C28" s="3" t="str">
        <x:v>Not applicable</x:v>
      </x:c>
      <x:c r="D28" s="3" t="str">
        <x:v>Distributed components do not share database or filesystem</x:v>
      </x:c>
      <x:c r="E28" s="3" t="str">
        <x:v>One deployable application owns its database; there are no separately deployed business services sharing storage.</x:v>
      </x:c>
      <x:c r="F28" s="3" t="str">
        <x:v>Keep ownership boundaries explicit if services are later extracted; a monolith having one database is not itself a violation of this conditional rule.</x:v>
      </x:c>
      <x:c r="G28" s="3" t="str">
        <x:v>Architecture</x:v>
      </x:c>
      <x:c r="H28" s="3" t="str">
        <x:v>architecture</x:v>
      </x:c>
      <x:c r="I28" s="3" t="str">
        <x:v>Yes</x:v>
      </x:c>
      <x:c r="J28" s="3" t="str">
        <x:v>No</x:v>
      </x:c>
      <x:c r="K28" s="3" t="str">
        <x:v>Rakenduse tehnilised hajuskomponendid ei jaga sama andmebaasi, mälu ega failisüsteemi.</x:v>
      </x:c>
      <x:c r="L28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29" ht="125" customHeight="1">
      <x:c r="A29" s="8" t="n">
        <x:v>28</x:v>
      </x:c>
      <x:c r="B29" s="3" t="str">
        <x:v>required</x:v>
      </x:c>
      <x:c r="C29" s="3" t="str">
        <x:v>Met</x:v>
      </x:c>
      <x:c r="D29" s="3" t="str">
        <x:v>Configuration and secrets injected through environment</x:v>
      </x:c>
      <x:c r="E29" s="3" t="str">
        <x:v>src/lib/env.ts validates environment; Docker and deployment documentation use externally supplied secrets.</x:v>
      </x:c>
      <x:c r="F29" s="3" t="str">
        <x:v>Keep live secrets in the receiving platform secret store; harden production startup validation for unsafe or missing settings.</x:v>
      </x:c>
      <x:c r="G29" s="3" t="str">
        <x:v>Platform / Engineering</x:v>
      </x:c>
      <x:c r="H29" s="3" t="str">
        <x:v>architecture</x:v>
      </x:c>
      <x:c r="I29" s="3" t="str">
        <x:v>Yes</x:v>
      </x:c>
      <x:c r="J29" s="3" t="str">
        <x:v>Yes</x:v>
      </x:c>
      <x:c r="K29" s="3" t="str">
        <x:v>Rakenduse konfiguratsioon (sh. paroolid) ei ole osa tarkvara koodist vaid paigaldatakse külge rakenduse tarnel keskkonda läbi keskkonnamuutujate.</x:v>
      </x:c>
      <x:c r="L29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30" ht="125" customHeight="1">
      <x:c r="A30" s="8" t="n">
        <x:v>29</x:v>
      </x:c>
      <x:c r="B30" s="3" t="str">
        <x:v>expected</x:v>
      </x:c>
      <x:c r="C30" s="3" t="str">
        <x:v>Met</x:v>
      </x:c>
      <x:c r="D30" s="3" t="str">
        <x:v>No business logic in database triggers/procedures</x:v>
      </x:c>
      <x:c r="E30" s="3" t="str">
        <x:v>Allocation and state transitions are TypeScript; drizzle triggers enforce append-only records and database integrity.</x:v>
      </x:c>
      <x:c r="F30" s="3" t="str">
        <x:v>Integrity constraints are not allocation business logic. Ask the receiving architect to confirm this interpretation if any trigger is disallowed literally.</x:v>
      </x:c>
      <x:c r="G30" s="3" t="str">
        <x:v>Architecture</x:v>
      </x:c>
      <x:c r="H30" s="3" t="str">
        <x:v>architecture</x:v>
      </x:c>
      <x:c r="I30" s="3" t="str">
        <x:v>Yes</x:v>
      </x:c>
      <x:c r="J30" s="3" t="str">
        <x:v>No</x:v>
      </x:c>
      <x:c r="K30" s="3" t="str">
        <x:v>Andmebaas ei tohi sisaldada äriloogikat (triggerid, protseduurid jms).</x:v>
      </x:c>
      <x:c r="L30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31" ht="125" customHeight="1">
      <x:c r="A31" s="8" t="n">
        <x:v>30</x:v>
      </x:c>
      <x:c r="B31" s="3" t="str">
        <x:v>required</x:v>
      </x:c>
      <x:c r="C31" s="3" t="str">
        <x:v>Not met</x:v>
      </x:c>
      <x:c r="D31" s="3" t="str">
        <x:v>Reuse existing national or OS identity system</x:v>
      </x:c>
      <x:c r="E31" s="3" t="str">
        <x:v>Custom users, representatives, login_codes and sessions, with mailbox possession as authentication.</x:v>
      </x:c>
      <x:c r="F31" s="3" t="str">
        <x:v>Integrate the accepted identity provider; application-specific roles/representation may remain in the application.</x:v>
      </x:c>
      <x:c r="G31" s="3" t="str">
        <x:v>Security / Engineering</x:v>
      </x:c>
      <x:c r="H31" s="3" t="str">
        <x:v>architecture</x:v>
      </x:c>
      <x:c r="I31" s="3" t="str">
        <x:v>Yes</x:v>
      </x:c>
      <x:c r="J31" s="3" t="str">
        <x:v>Yes</x:v>
      </x:c>
      <x:c r="K31" s="3" t="str">
        <x:v>Rakendus ei tohi luua uut identiteedisüsteemi. Tuleb tugineda olemasolevatele riiklikele (ID-kaart) või põhiliste op-süsteemide süsteemidele (Kerberos jms).</x:v>
      </x:c>
      <x:c r="L31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32" ht="125" customHeight="1">
      <x:c r="A32" s="8" t="n">
        <x:v>31</x:v>
      </x:c>
      <x:c r="B32" s="3" t="str">
        <x:v>deprecated</x:v>
      </x:c>
      <x:c r="C32" s="3" t="str">
        <x:v>Not applicable</x:v>
      </x:c>
      <x:c r="D32" s="3" t="str">
        <x:v>RIHA X technical XML manifest</x:v>
      </x:c>
      <x:c r="E32" s="3" t="str">
        <x:v>Source explicitly marks this requirement deprecated.</x:v>
      </x:c>
      <x:c r="F32" s="3" t="str">
        <x:v>Excluded from active assessment; do not implement the deprecated manifest requirement.</x:v>
      </x:c>
      <x:c r="G32" s="3" t="str">
        <x:v>Service owner</x:v>
      </x:c>
      <x:c r="H32" s="3" t="str">
        <x:v>architecture</x:v>
      </x:c>
      <x:c r="I32" s="3" t="str">
        <x:v>No</x:v>
      </x:c>
      <x:c r="J32" s="3" t="str">
        <x:v>No</x:v>
      </x:c>
      <x:c r="K32" s="3" t="str">
        <x:v>Tehnilised komponendid peavad saatma tehnilise XML manifesti RIHA X'i</x:v>
      </x:c>
      <x:c r="L32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33" ht="125" customHeight="1">
      <x:c r="A33" s="8" t="n">
        <x:v>32</x:v>
      </x:c>
      <x:c r="B33" s="3" t="str">
        <x:v>recommended</x:v>
      </x:c>
      <x:c r="C33" s="3" t="str">
        <x:v>Met</x:v>
      </x:c>
      <x:c r="D33" s="3" t="str">
        <x:v>Explicit documented user stories / functional scope</x:v>
      </x:c>
      <x:c r="E33" s="3" t="str">
        <x:v>docs/kaskaadi-ariloogika.md has 96 identified rules and worked examples; user guide and role/lifecycle descriptions.</x:v>
      </x:c>
      <x:c r="F33" s="3" t="str">
        <x:v>Strong functional scope. Reconcile stale order-issuance wording with L-25 and resolve listed open business decisions.</x:v>
      </x:c>
      <x:c r="G33" s="3" t="str">
        <x:v>Product owner</x:v>
      </x:c>
      <x:c r="H33" s="3" t="str">
        <x:v>quality</x:v>
      </x:c>
      <x:c r="I33" s="3" t="str">
        <x:v>Yes</x:v>
      </x:c>
      <x:c r="J33" s="3" t="str">
        <x:v>No</x:v>
      </x:c>
      <x:c r="K33" s="3" t="str">
        <x:v>Süsteemi funktsionaalne skoop on defineeritud ja dokumenteeritud selgesõnaliste kasutuslugudega. Nimetatud kasutuslood peavad olema toote ärilises dokumentatsioonis.</x:v>
      </x:c>
      <x:c r="L33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34" ht="125" customHeight="1">
      <x:c r="A34" s="8" t="n">
        <x:v>33</x:v>
      </x:c>
      <x:c r="B34" s="3" t="str">
        <x:v>expected</x:v>
      </x:c>
      <x:c r="C34" s="3" t="str">
        <x:v>Partially met</x:v>
      </x:c>
      <x:c r="D34" s="3" t="str">
        <x:v>Automated user-functionality testing</x:v>
      </x:c>
      <x:c r="E34" s="3" t="str">
        <x:v>591 tests and auth/e2e/admin/protocol suites pass locally; direct-action probes exposed missed negative paths.</x:v>
      </x:c>
      <x:c r="F34" s="3" t="str">
        <x:v>Run browser acceptance in release CI; add risk-based object authorization, timing and interrupted-mail scenarios. Passing happy paths are not complete coverage.</x:v>
      </x:c>
      <x:c r="G34" s="3" t="str">
        <x:v>Engineering / QA</x:v>
      </x:c>
      <x:c r="H34" s="3" t="str">
        <x:v>quality</x:v>
      </x:c>
      <x:c r="I34" s="3" t="str">
        <x:v>Yes</x:v>
      </x:c>
      <x:c r="J34" s="3" t="str">
        <x:v>No</x:v>
      </x:c>
      <x:c r="K34" s="3" t="str">
        <x:v>Kasutajafunktsionaalsus peab olema kaetud automaattestidega.</x:v>
      </x:c>
      <x:c r="L34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35" ht="125" customHeight="1">
      <x:c r="A35" s="8" t="n">
        <x:v>34</x:v>
      </x:c>
      <x:c r="B35" s="3" t="str">
        <x:v>expected</x:v>
      </x:c>
      <x:c r="C35" s="3" t="str">
        <x:v>Unverified</x:v>
      </x:c>
      <x:c r="D35" s="3" t="str">
        <x:v>Load testing at twice expected users before production</x:v>
      </x:c>
      <x:c r="E35" s="3" t="str">
        <x:v>docs/juurutamine.md estimates tens of partners and hundreds of annual rounds; no 2x load-test evidence or explicit peak target found.</x:v>
      </x:c>
      <x:c r="F35" s="3" t="str">
        <x:v>Agree simultaneous users, uploads and deadline bursts; test at least 2x peak, including slow SMTP and concurrent SQLite writes.</x:v>
      </x:c>
      <x:c r="G35" s="3" t="str">
        <x:v>QA / Platform</x:v>
      </x:c>
      <x:c r="H35" s="3" t="str">
        <x:v>quality</x:v>
      </x:c>
      <x:c r="I35" s="3" t="str">
        <x:v>Yes</x:v>
      </x:c>
      <x:c r="J35" s="3" t="str">
        <x:v>No</x:v>
      </x:c>
      <x:c r="K35" s="3" t="str">
        <x:v>Rakendused on läbinud koormustestid vähemalt kahekordse eeldatava kasutajamahuga enne toodangusse minekut.</x:v>
      </x:c>
      <x:c r="L35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36" ht="125" customHeight="1">
      <x:c r="A36" s="8" t="n">
        <x:v>35</x:v>
      </x:c>
      <x:c r="B36" s="3" t="str">
        <x:v>expected</x:v>
      </x:c>
      <x:c r="C36" s="3" t="str">
        <x:v>Met</x:v>
      </x:c>
      <x:c r="D36" s="3" t="str">
        <x:v>Unit tests for complex internal functions</x:v>
      </x:c>
      <x:c r="E36" s="3" t="str">
        <x:v>31 test files, 591 passing tests under Node 22; allocation, calendars, engine, migrations, imports, documents and authentication covered.</x:v>
      </x:c>
      <x:c r="F36" s="3" t="str">
        <x:v>Preserve tests and add independent edge-case tests for the reproduced defects. Test count is not proof that every rule is correct.</x:v>
      </x:c>
      <x:c r="G36" s="3" t="str">
        <x:v>Engineering</x:v>
      </x:c>
      <x:c r="H36" s="3" t="str">
        <x:v>quality</x:v>
      </x:c>
      <x:c r="I36" s="3" t="str">
        <x:v>Yes</x:v>
      </x:c>
      <x:c r="J36" s="3" t="str">
        <x:v>No</x:v>
      </x:c>
      <x:c r="K36" s="3" t="str">
        <x:v>Keerulisemad sisemised tarkvaralised funktsioonid on kaetud unit-testidega.</x:v>
      </x:c>
      <x:c r="L36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37" ht="125" customHeight="1">
      <x:c r="A37" s="8" t="n">
        <x:v>36</x:v>
      </x:c>
      <x:c r="B37" s="3" t="str">
        <x:v>recommended</x:v>
      </x:c>
      <x:c r="C37" s="3" t="str">
        <x:v>Not met</x:v>
      </x:c>
      <x:c r="D37" s="3" t="str">
        <x:v>Use RIA e-government style guide</x:v>
      </x:c>
      <x:c r="E37" s="3" t="str">
        <x:v>src/app/globals.css and custom kh-* UI implement a bespoke dark theme; no RIA design-system adoption documented.</x:v>
      </x:c>
      <x:c r="F37" s="3" t="str">
        <x:v>Agree agency design-system requirements and apply approved components/style or document exception.</x:v>
      </x:c>
      <x:c r="G37" s="3" t="str">
        <x:v>Design / Product owner</x:v>
      </x:c>
      <x:c r="H37" s="3" t="str">
        <x:v>quality</x:v>
      </x:c>
      <x:c r="I37" s="3" t="str">
        <x:v>Yes</x:v>
      </x:c>
      <x:c r="J37" s="3" t="str">
        <x:v>No</x:v>
      </x:c>
      <x:c r="K37" s="3" t="str">
        <x:v>Kasutajaliides kasutab Riigi Infosüsteemide Amet'i pakutavat e-riigi stiiliraamatut.</x:v>
      </x:c>
      <x:c r="L37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38" ht="125" customHeight="1">
      <x:c r="A38" s="8" t="n">
        <x:v>37</x:v>
      </x:c>
      <x:c r="B38" s="3" t="str">
        <x:v>expected</x:v>
      </x:c>
      <x:c r="C38" s="3" t="str">
        <x:v>Unverified</x:v>
      </x:c>
      <x:c r="D38" s="3" t="str">
        <x:v>Supported eID browser compatibility</x:v>
      </x:c>
      <x:c r="E38" s="3" t="str">
        <x:v>Chromium/Chrome suites passed; no evidence for the required supported browser/version matrix.</x:v>
      </x:c>
      <x:c r="F38" s="3" t="str">
        <x:v>Validate current officially supported eID browsers and versions, including keyboard and assistive technology combinations.</x:v>
      </x:c>
      <x:c r="G38" s="3" t="str">
        <x:v>QA</x:v>
      </x:c>
      <x:c r="H38" s="3" t="str">
        <x:v>quality</x:v>
      </x:c>
      <x:c r="I38" s="3" t="str">
        <x:v>Yes</x:v>
      </x:c>
      <x:c r="J38" s="3" t="str">
        <x:v>No</x:v>
      </x:c>
      <x:c r="K38" s="3" t="str">
        <x:v>Rakendus peab töötama veebisirvijates, mis toetavad eID baastarkvara kaht viimast versiooni.</x:v>
      </x:c>
      <x:c r="L38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39" ht="125" customHeight="1">
      <x:c r="A39" s="8" t="n">
        <x:v>38</x:v>
      </x:c>
      <x:c r="B39" s="3" t="str">
        <x:v>expected</x:v>
      </x:c>
      <x:c r="C39" s="3" t="str">
        <x:v>Partially met</x:v>
      </x:c>
      <x:c r="D39" s="3" t="str">
        <x:v>HTML5 and CSS3 standards</x:v>
      </x:c>
      <x:c r="E39" s="3" t="str">
        <x:v>Modern semantic HTML/React and CSS/Tailwind; rendered pages work in Chrome.</x:v>
      </x:c>
      <x:c r="F39" s="3" t="str">
        <x:v>Run standards validation and cross-browser checks; functional Chrome tests do not establish full standards conformance.</x:v>
      </x:c>
      <x:c r="G39" s="3" t="str">
        <x:v>Engineering / QA</x:v>
      </x:c>
      <x:c r="H39" s="3" t="str">
        <x:v>quality</x:v>
      </x:c>
      <x:c r="I39" s="3" t="str">
        <x:v>Yes</x:v>
      </x:c>
      <x:c r="J39" s="3" t="str">
        <x:v>No</x:v>
      </x:c>
      <x:c r="K39" s="3" t="str">
        <x:v>Veebipõhine kasutajaliides järgib HTML5 ja CSS3 standardeid.</x:v>
      </x:c>
      <x:c r="L39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40" ht="125" customHeight="1">
      <x:c r="A40" s="8" t="n">
        <x:v>39</x:v>
      </x:c>
      <x:c r="B40" s="3" t="str">
        <x:v>recommended</x:v>
      </x:c>
      <x:c r="C40" s="3" t="str">
        <x:v>Not met</x:v>
      </x:c>
      <x:c r="D40" s="3" t="str">
        <x:v>WCAG 2.1 AA</x:v>
      </x:c>
      <x:c r="E40" s="3" t="str">
        <x:v>axe 4.13 scans: primary buttons 2.53:1 contrast, colour-only links, unlabelled file input; sample PDF is untagged and has no language metadata.</x:v>
      </x:c>
      <x:c r="F40" s="3" t="str">
        <x:v>Fix confirmed web failures, review PDF accessibility, and complete manual keyboard/screen-reader/zoom assessment plus accessibility statement. CFR says recommended; public-service accessibility obligations exist separately.</x:v>
      </x:c>
      <x:c r="G40" s="3" t="str">
        <x:v>Design / Accessibility QA</x:v>
      </x:c>
      <x:c r="H40" s="3" t="str">
        <x:v>quality</x:v>
      </x:c>
      <x:c r="I40" s="3" t="str">
        <x:v>Yes</x:v>
      </x:c>
      <x:c r="J40" s="3" t="str">
        <x:v>No</x:v>
      </x:c>
      <x:c r="K40" s="3" t="str">
        <x:v>Rakendus vastab WCAG 2.1 AA tasemele</x:v>
      </x:c>
      <x:c r="L40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 | https://www.ttja.ee/avaliku-sektori-digiligipaasetavus</x:v>
      </x:c>
    </x:row>
    <x:row r="41" ht="125" customHeight="1">
      <x:c r="A41" s="8" t="n">
        <x:v>40</x:v>
      </x:c>
      <x:c r="B41" s="3" t="str">
        <x:v>expected</x:v>
      </x:c>
      <x:c r="C41" s="3" t="str">
        <x:v>Partially met</x:v>
      </x:c>
      <x:c r="D41" s="3" t="str">
        <x:v>Static code analysis</x:v>
      </x:c>
      <x:c r="E41" s="3" t="str">
        <x:v>Strict TypeScript check runs in CI; lint command prompts to configure missing ESLint and exits unsuccessfully noninteractively.</x:v>
      </x:c>
      <x:c r="F41" s="3" t="str">
        <x:v>Keep compiler checks; configure noninteractive lint/security analysis and actionable CI gates.</x:v>
      </x:c>
      <x:c r="G41" s="3" t="str">
        <x:v>Engineering</x:v>
      </x:c>
      <x:c r="H41" s="3" t="str">
        <x:v>security</x:v>
      </x:c>
      <x:c r="I41" s="3" t="str">
        <x:v>Yes</x:v>
      </x:c>
      <x:c r="J41" s="3" t="str">
        <x:v>No</x:v>
      </x:c>
      <x:c r="K41" s="3" t="str">
        <x:v>Tarkvara koodile rakendatakse staatilise koodi analüüsi.</x:v>
      </x:c>
      <x:c r="L41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42" ht="125" customHeight="1">
      <x:c r="A42" s="8" t="n">
        <x:v>41</x:v>
      </x:c>
      <x:c r="B42" s="3" t="str">
        <x:v>required</x:v>
      </x:c>
      <x:c r="C42" s="3" t="str">
        <x:v>Not met</x:v>
      </x:c>
      <x:c r="D42" s="3" t="str">
        <x:v>Operational logging and audit stored outside app/database</x:v>
      </x:c>
      <x:c r="E42" s="3" t="str">
        <x:v>src/server/audit.ts writes audit_events in the same SQLite transaction/database; stdout operational logs do not export that full audit trail.</x:v>
      </x:c>
      <x:c r="F42" s="3" t="str">
        <x:v>Ship auditable events to independently protected storage; define retention, access auditing, delivery failure handling and incident retrieval. Preserve transactional local logging.</x:v>
      </x:c>
      <x:c r="G42" s="3" t="str">
        <x:v>Security / Platform / Engineering</x:v>
      </x:c>
      <x:c r="H42" s="3" t="str">
        <x:v>security</x:v>
      </x:c>
      <x:c r="I42" s="3" t="str">
        <x:v>Yes</x:v>
      </x:c>
      <x:c r="J42" s="3" t="str">
        <x:v>Yes</x:v>
      </x:c>
      <x:c r="K42" s="3" t="str">
        <x:v>Rakenduse tarkvara tööd logitakse ning audit-logi talletatakse rakendusest ning selle baasist eraldi.</x:v>
      </x:c>
      <x:c r="L42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43" ht="125" customHeight="1">
      <x:c r="A43" s="8" t="n">
        <x:v>42</x:v>
      </x:c>
      <x:c r="B43" s="3" t="str">
        <x:v>required</x:v>
      </x:c>
      <x:c r="C43" s="3" t="str">
        <x:v>Not met</x:v>
      </x:c>
      <x:c r="D43" s="3" t="str">
        <x:v>No personal data or session secrets in URLs</x:v>
      </x:c>
      <x:c r="E43" s="3" t="str">
        <x:v>src/server/actions/auth.ts:116 redirects to /sisene/kood?e=&lt;email&gt;.</x:v>
      </x:c>
      <x:c r="F43" s="3" t="str">
        <x:v>Replace email in query parameters with an opaque challenge reference or server-side flow state; redact historical access logs according to policy.</x:v>
      </x:c>
      <x:c r="G43" s="3" t="str">
        <x:v>Engineering</x:v>
      </x:c>
      <x:c r="H43" s="3" t="str">
        <x:v>security</x:v>
      </x:c>
      <x:c r="I43" s="3" t="str">
        <x:v>Yes</x:v>
      </x:c>
      <x:c r="J43" s="3" t="str">
        <x:v>Yes</x:v>
      </x:c>
      <x:c r="K43" s="3" t="str">
        <x:v>URL ei tohi sisaldada isikuandmeid või sessioonivõtit.</x:v>
      </x:c>
      <x:c r="L43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44" ht="125" customHeight="1">
      <x:c r="A44" s="8" t="n">
        <x:v>43</x:v>
      </x:c>
      <x:c r="B44" s="3" t="str">
        <x:v>required</x:v>
      </x:c>
      <x:c r="C44" s="3" t="str">
        <x:v>Unverified</x:v>
      </x:c>
      <x:c r="D44" s="3" t="str">
        <x:v>Baseline ISKE K2T2S2 unless specified otherwise</x:v>
      </x:c>
      <x:c r="E44" s="3" t="str">
        <x:v>No approved information classification, control mapping or security assessment found. CFR contains legacy ISKE terminology.</x:v>
      </x:c>
      <x:c r="F44" s="3" t="str">
        <x:v>Agency security owner must determine current E-ITS obligations, classification and controls. Do not equate compliance with this old CFR file to current E-ITS compliance.</x:v>
      </x:c>
      <x:c r="G44" s="3" t="str">
        <x:v>Security / Service owner</x:v>
      </x:c>
      <x:c r="H44" s="3" t="str">
        <x:v>security</x:v>
      </x:c>
      <x:c r="I44" s="3" t="str">
        <x:v>Yes</x:v>
      </x:c>
      <x:c r="J44" s="3" t="str">
        <x:v>Yes</x:v>
      </x:c>
      <x:c r="K44" s="3" t="str">
        <x:v>Kui ei ole määratud teisiti, peab rakendus olema kasutatav ISKE klassile K2T2S2 vastavate süsteemide loomisel.</x:v>
      </x:c>
      <x:c r="L44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 | https://www.ria.ee/uudised/kehtima-hakkavad-uued-infoturbenouded</x:v>
      </x:c>
    </x:row>
    <x:row r="45" ht="125" customHeight="1">
      <x:c r="A45" s="8" t="n">
        <x:v>44</x:v>
      </x:c>
      <x:c r="B45" s="3" t="str">
        <x:v>expected</x:v>
      </x:c>
      <x:c r="C45" s="3" t="str">
        <x:v>Partially met</x:v>
      </x:c>
      <x:c r="D45" s="3" t="str">
        <x:v>Server-side input validation</x:v>
      </x:c>
      <x:c r="E45" s="3" t="str">
        <x:v>Zod environment parsing, typed import-row validators and many engine guards; missing early-close deadline invariant and notification ownership check.</x:v>
      </x:c>
      <x:c r="F45" s="3" t="str">
        <x:v>Enforce invariants at the server domain boundary; reject malformed caps, and bound workbook expansion/row counts and strings, with abuse tests.</x:v>
      </x:c>
      <x:c r="G45" s="3" t="str">
        <x:v>Engineering</x:v>
      </x:c>
      <x:c r="H45" s="3" t="str">
        <x:v>security</x:v>
      </x:c>
      <x:c r="I45" s="3" t="str">
        <x:v>Yes</x:v>
      </x:c>
      <x:c r="J45" s="3" t="str">
        <x:v>No</x:v>
      </x:c>
      <x:c r="K45" s="3" t="str">
        <x:v>Kasutaja ja rakenduste (sealhulgas ka enda omade) sisendit kontrollitakse ja puhastatakse rakenduse poolel vastu rakenduse enda siseseid ootuseid.</x:v>
      </x:c>
      <x:c r="L45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46" ht="125" customHeight="1">
      <x:c r="A46" s="8" t="n">
        <x:v>45</x:v>
      </x:c>
      <x:c r="B46" s="3" t="str">
        <x:v>expected</x:v>
      </x:c>
      <x:c r="C46" s="3" t="str">
        <x:v>Partially met</x:v>
      </x:c>
      <x:c r="D46" s="3" t="str">
        <x:v>Sanitize/filter outputs</x:v>
      </x:c>
      <x:c r="E46" s="3" t="str">
        <x:v>React escapes ordinary text; domain HTML templates escape inserted values; PDF denies external resource access.</x:v>
      </x:c>
      <x:c r="F46" s="3" t="str">
        <x:v>Positive implementation evidence, but no exhaustive stored-XSS, spreadsheet-formula and every-output sink assessment. Include those in security testing.</x:v>
      </x:c>
      <x:c r="G46" s="3" t="str">
        <x:v>Engineering / Security</x:v>
      </x:c>
      <x:c r="H46" s="3" t="str">
        <x:v>security</x:v>
      </x:c>
      <x:c r="I46" s="3" t="str">
        <x:v>Yes</x:v>
      </x:c>
      <x:c r="J46" s="3" t="str">
        <x:v>No</x:v>
      </x:c>
      <x:c r="K46" s="3" t="str">
        <x:v>Rakenduse väljundit tuleb alati puhastada ja filtreerida enne kasutamist.</x:v>
      </x:c>
      <x:c r="L46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47" ht="125" customHeight="1">
      <x:c r="A47" s="8" t="n">
        <x:v>46</x:v>
      </x:c>
      <x:c r="B47" s="3" t="str">
        <x:v>expected</x:v>
      </x:c>
      <x:c r="C47" s="3" t="str">
        <x:v>Partially met</x:v>
      </x:c>
      <x:c r="D47" s="3" t="str">
        <x:v>Current approved cryptographic algorithms</x:v>
      </x:c>
      <x:c r="E47" s="3" t="str">
        <x:v>CSPRNG session tokens, SHA-256, HMAC-SHA256 and timing-safe comparison in auth; protocol integrity comparison is incomplete.</x:v>
      </x:c>
      <x:c r="F47" s="3" t="str">
        <x:v>Validate algorithms, key lengths, TLS settings and lifecycle against latest RIA guidance; correct protocol trust check and document tested session revocation.</x:v>
      </x:c>
      <x:c r="G47" s="3" t="str">
        <x:v>Security / Engineering</x:v>
      </x:c>
      <x:c r="H47" s="3" t="str">
        <x:v>security</x:v>
      </x:c>
      <x:c r="I47" s="3" t="str">
        <x:v>Yes</x:v>
      </x:c>
      <x:c r="J47" s="3" t="str">
        <x:v>No</x:v>
      </x:c>
      <x:c r="K47" s="3" t="str">
        <x:v>Kasutada ajakohaseid krüptoalgoritme</x:v>
      </x:c>
      <x:c r="L47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48" ht="125" customHeight="1">
      <x:c r="A48" s="8" t="n">
        <x:v>47</x:v>
      </x:c>
      <x:c r="B48" s="3" t="str">
        <x:v>required</x:v>
      </x:c>
      <x:c r="C48" s="3" t="str">
        <x:v>Partially met</x:v>
      </x:c>
      <x:c r="D48" s="3" t="str">
        <x:v>TLS between user interfaces and components, including internal networks</x:v>
      </x:c>
      <x:c r="E48" s="3" t="str">
        <x:v>Deployment guide requires edge TLS/HSTS but shows proxy-to-application HTTP; local server tested over HTTP.</x:v>
      </x:c>
      <x:c r="F48" s="3" t="str">
        <x:v>Verify actual government end-to-end TLS topology, including internal hops or approved exception. Local HTTP test is not evidence about public endpoint TLS.</x:v>
      </x:c>
      <x:c r="G48" s="3" t="str">
        <x:v>Platform / Security</x:v>
      </x:c>
      <x:c r="H48" s="3" t="str">
        <x:v>security</x:v>
      </x:c>
      <x:c r="I48" s="3" t="str">
        <x:v>Yes</x:v>
      </x:c>
      <x:c r="J48" s="3" t="str">
        <x:v>Yes</x:v>
      </x:c>
      <x:c r="K48" s="3" t="str">
        <x:v>Kasutajaliides ja tehnilised komponendid suhtlevad üle TLS/SSL'i</x:v>
      </x:c>
      <x:c r="L48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49" ht="125" customHeight="1">
      <x:c r="A49" s="8" t="n">
        <x:v>48</x:v>
      </x:c>
      <x:c r="B49" s="3" t="str">
        <x:v>expected</x:v>
      </x:c>
      <x:c r="C49" s="3" t="str">
        <x:v>Partially met</x:v>
      </x:c>
      <x:c r="D49" s="3" t="str">
        <x:v>TLS between technical components</x:v>
      </x:c>
      <x:c r="E49" s="3" t="str">
        <x:v>SMTP supports implicit TLS and required STARTTLS, but flags default off; internal application HTTP is documented.</x:v>
      </x:c>
      <x:c r="F49" s="3" t="str">
        <x:v>Enforce approved TLS settings at production startup and platform; verify certificates and relay/proxy connections in deployed environment.</x:v>
      </x:c>
      <x:c r="G49" s="3" t="str">
        <x:v>Platform / Security</x:v>
      </x:c>
      <x:c r="H49" s="3" t="str">
        <x:v>security</x:v>
      </x:c>
      <x:c r="I49" s="3" t="str">
        <x:v>Yes</x:v>
      </x:c>
      <x:c r="J49" s="3" t="str">
        <x:v>No</x:v>
      </x:c>
      <x:c r="K49" s="3" t="str">
        <x:v>Rakenduse tehnilised komponendid suhtlevad omavahel üle TLS/SSL'i</x:v>
      </x:c>
      <x:c r="L49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50" ht="125" customHeight="1">
      <x:c r="A50" s="8" t="n">
        <x:v>49</x:v>
      </x:c>
      <x:c r="B50" s="3" t="str">
        <x:v>expected</x:v>
      </x:c>
      <x:c r="C50" s="3" t="str">
        <x:v>Partially met</x:v>
      </x:c>
      <x:c r="D50" s="3" t="str">
        <x:v>Retain business records when deleting</x:v>
      </x:c>
      <x:c r="E50" s="3" t="str">
        <x:v>Deactivation/cancellation and append-only confirmations/audit preserve history; engine.ts replaces draft round_trainings with physical deletion.</x:v>
      </x:c>
      <x:c r="F50" s="3" t="str">
        <x:v>Define record retention and which transient draft associations may be physically replaced; test that all required historical business states remain reconstructable.</x:v>
      </x:c>
      <x:c r="G50" s="3" t="str">
        <x:v>Data owner / Engineering</x:v>
      </x:c>
      <x:c r="H50" s="3" t="str">
        <x:v>data</x:v>
      </x:c>
      <x:c r="I50" s="3" t="str">
        <x:v>Yes</x:v>
      </x:c>
      <x:c r="J50" s="3" t="str">
        <x:v>No</x:v>
      </x:c>
      <x:c r="K50" s="3" t="str">
        <x:v>Andmete kustutamine ei tohi kustutada tegelikke kirjeid andmebaasist, välja arvatud, kui kirjed pole mittefunktsionaalsed, ehk ei oma ärilist seost.</x:v>
      </x:c>
      <x:c r="L50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51" ht="125" customHeight="1">
      <x:c r="A51" s="8" t="n">
        <x:v>50</x:v>
      </x:c>
      <x:c r="B51" s="3" t="str">
        <x:v>required</x:v>
      </x:c>
      <x:c r="C51" s="3" t="str">
        <x:v>Met</x:v>
      </x:c>
      <x:c r="D51" s="3" t="str">
        <x:v>At least UTF-8 data storage</x:v>
      </x:c>
      <x:c r="E51" s="3" t="str">
        <x:v>SQLite text and UTF-8 import/export paths; Estonian text exercised in unit/browser tests.</x:v>
      </x:c>
      <x:c r="F51" s="3" t="str">
        <x:v>Preserve Unicode end-to-end. Standard-font PDF transliteration is a separate display limitation, not proof of non-UTF-8 database storage.</x:v>
      </x:c>
      <x:c r="G51" s="3" t="str">
        <x:v>Engineering</x:v>
      </x:c>
      <x:c r="H51" s="3" t="str">
        <x:v>data</x:v>
      </x:c>
      <x:c r="I51" s="3" t="str">
        <x:v>Yes</x:v>
      </x:c>
      <x:c r="J51" s="3" t="str">
        <x:v>Yes</x:v>
      </x:c>
      <x:c r="K51" s="3" t="str">
        <x:v>Andmed peavad olema talletatud vähemalt UTF-8 enkoodingus.</x:v>
      </x:c>
      <x:c r="L51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52" ht="125" customHeight="1">
      <x:c r="A52" s="8" t="n">
        <x:v>51</x:v>
      </x:c>
      <x:c r="B52" s="3" t="str">
        <x:v>expected</x:v>
      </x:c>
      <x:c r="C52" s="3" t="str">
        <x:v>Met</x:v>
      </x:c>
      <x:c r="D52" s="3" t="str">
        <x:v>ISO 8601 text dates/times</x:v>
      </x:c>
      <x:c r="E52" s="3" t="str">
        <x:v>Calendar data uses ISO day strings; instants stored as epoch milliseconds; Tallinn human-facing formatting explicit.</x:v>
      </x:c>
      <x:c r="F52" s="3" t="str">
        <x:v>Keep timezone semantics in exported schema. Localised UI dates are explicitly allowed by the CFR notes.</x:v>
      </x:c>
      <x:c r="G52" s="3" t="str">
        <x:v>Engineering</x:v>
      </x:c>
      <x:c r="H52" s="3" t="str">
        <x:v>data</x:v>
      </x:c>
      <x:c r="I52" s="3" t="str">
        <x:v>Yes</x:v>
      </x:c>
      <x:c r="J52" s="3" t="str">
        <x:v>No</x:v>
      </x:c>
      <x:c r="K52" s="3" t="str">
        <x:v>Aja esitamisel tekstikujul lähtuda standardist ISO 8601.</x:v>
      </x:c>
      <x:c r="L52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53" ht="125" customHeight="1">
      <x:c r="A53" s="8" t="n">
        <x:v>52</x:v>
      </x:c>
      <x:c r="B53" s="3" t="str">
        <x:v>expected</x:v>
      </x:c>
      <x:c r="C53" s="3" t="str">
        <x:v>Partially met</x:v>
      </x:c>
      <x:c r="D53" s="3" t="str">
        <x:v>National registry identifiers and country prefixes</x:v>
      </x:c>
      <x:c r="E53" s="3" t="str">
        <x:v>partners.reg_code exists; users/representatives are identified through email; no country-qualified verified personal ID.</x:v>
      </x:c>
      <x:c r="F53" s="3" t="str">
        <x:v>With identity integration, define national/foreign subject identifiers and representation mapping; qualify registry codes as required or document bounded scope.</x:v>
      </x:c>
      <x:c r="G53" s="3" t="str">
        <x:v>Architecture / Data owner</x:v>
      </x:c>
      <x:c r="H53" s="3" t="str">
        <x:v>data</x:v>
      </x:c>
      <x:c r="I53" s="3" t="str">
        <x:v>Yes</x:v>
      </x:c>
      <x:c r="J53" s="3" t="str">
        <x:v>No</x:v>
      </x:c>
      <x:c r="K53" s="3" t="str">
        <x:v>Objektid identifitseerida registrikoodide abil.</x:v>
      </x:c>
      <x:c r="L53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54" ht="125" customHeight="1">
      <x:c r="A54" s="8" t="n">
        <x:v>53</x:v>
      </x:c>
      <x:c r="B54" s="3" t="str">
        <x:v>expected</x:v>
      </x:c>
      <x:c r="C54" s="3" t="str">
        <x:v>Partially met</x:v>
      </x:c>
      <x:c r="D54" s="3" t="str">
        <x:v>Address data system requirements</x:v>
      </x:c>
      <x:c r="E54" s="3" t="str">
        <x:v>trainings.county and location_text; free text can contain Estonian physical addresses; no ADS identifier/integration.</x:v>
      </x:c>
      <x:c r="F54" s="3" t="str">
        <x:v>Determine which location values are addresses versus venue descriptions. Use official address data where applicable; document online-only/unspecified-location exceptions.</x:v>
      </x:c>
      <x:c r="G54" s="3" t="str">
        <x:v>Data owner / Engineering</x:v>
      </x:c>
      <x:c r="H54" s="3" t="str">
        <x:v>data</x:v>
      </x:c>
      <x:c r="I54" s="3" t="str">
        <x:v>Yes</x:v>
      </x:c>
      <x:c r="J54" s="3" t="str">
        <x:v>No</x:v>
      </x:c>
      <x:c r="K54" s="3" t="str">
        <x:v>Rakendada aadressiandmete süsteemi nõudeid.</x:v>
      </x:c>
      <x:c r="L54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55" ht="125" customHeight="1">
      <x:c r="A55" s="8" t="n">
        <x:v>54</x:v>
      </x:c>
      <x:c r="B55" s="3" t="str">
        <x:v>expected</x:v>
      </x:c>
      <x:c r="C55" s="3" t="str">
        <x:v>Not applicable</x:v>
      </x:c>
      <x:c r="D55" s="3" t="str">
        <x:v>Classification system / EMTAK for economic activities</x:v>
      </x:c>
      <x:c r="E55" s="3" t="str">
        <x:v>No economic-activity field or EMTAK use in the reviewed data model.</x:v>
      </x:c>
      <x:c r="F55" s="3" t="str">
        <x:v>Reassess if economic activity is added. Other classifier use is assessed separately in #61.</x:v>
      </x:c>
      <x:c r="G55" s="3" t="str">
        <x:v>Data owner</x:v>
      </x:c>
      <x:c r="H55" s="3" t="str">
        <x:v>data</x:v>
      </x:c>
      <x:c r="I55" s="3" t="str">
        <x:v>Yes</x:v>
      </x:c>
      <x:c r="J55" s="3" t="str">
        <x:v>No</x:v>
      </x:c>
      <x:c r="K55" s="3" t="str">
        <x:v>Rakendada klassifikaatorite süsteemi nõudeid.</x:v>
      </x:c>
      <x:c r="L55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56" ht="125" customHeight="1">
      <x:c r="A56" s="8" t="n">
        <x:v>55</x:v>
      </x:c>
      <x:c r="B56" s="3" t="str">
        <x:v>required</x:v>
      </x:c>
      <x:c r="C56" s="3" t="str">
        <x:v>Partially met</x:v>
      </x:c>
      <x:c r="D56" s="3" t="str">
        <x:v>Version all records containing integrity-class-2+ data</x:v>
      </x:c>
      <x:c r="E56" s="3" t="str">
        <x:v>Publication/allocation snapshots and append-only confirmations/audit exist; many entity rows change in place; protocol rows are mutable.</x:v>
      </x:c>
      <x:c r="F56" s="3" t="str">
        <x:v>Assuming default T2, define all in-scope records and provide complete version history. Audit summaries and selected snapshots alone do not establish universal record versioning. Confirm classification with owner.</x:v>
      </x:c>
      <x:c r="G56" s="3" t="str">
        <x:v>Data owner / Security / Engineering</x:v>
      </x:c>
      <x:c r="H56" s="3" t="str">
        <x:v>data</x:v>
      </x:c>
      <x:c r="I56" s="3" t="str">
        <x:v>Yes</x:v>
      </x:c>
      <x:c r="J56" s="3" t="str">
        <x:v>Yes</x:v>
      </x:c>
      <x:c r="K56" s="3" t="str">
        <x:v>Kui andmebaasis olevate andmete ISKE tervikluse klass on 2 või kõrgem, siis tuleb kõik klass 2 infot sisaldavad andmebaasi kirjed versioneerida.</x:v>
      </x:c>
      <x:c r="L56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57" ht="125" customHeight="1">
      <x:c r="A57" s="8" t="n">
        <x:v>56</x:v>
      </x:c>
      <x:c r="B57" s="3" t="str">
        <x:v>expected</x:v>
      </x:c>
      <x:c r="C57" s="3" t="str">
        <x:v>Not met</x:v>
      </x:c>
      <x:c r="D57" s="3" t="str">
        <x:v>Use RIA Data Tracker</x:v>
      </x:c>
      <x:c r="E57" s="3" t="str">
        <x:v>No Andmejälgija interface or integration found; local audit UI is a different capability.</x:v>
      </x:c>
      <x:c r="F57" s="3" t="str">
        <x:v>Determine applicability with the data controller and implement approved tracking integration or document exception.</x:v>
      </x:c>
      <x:c r="G57" s="3" t="str">
        <x:v>Data owner / Architecture</x:v>
      </x:c>
      <x:c r="H57" s="3" t="str">
        <x:v>data</x:v>
      </x:c>
      <x:c r="I57" s="3" t="str">
        <x:v>Yes</x:v>
      </x:c>
      <x:c r="J57" s="3" t="str">
        <x:v>No</x:v>
      </x:c>
      <x:c r="K57" s="3" t="str">
        <x:v>Kasutatakse Riigi Infosüsteemide Ameti andmejälgijat.</x:v>
      </x:c>
      <x:c r="L57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58" ht="125" customHeight="1">
      <x:c r="A58" s="8" t="n">
        <x:v>57</x:v>
      </x:c>
      <x:c r="B58" s="3" t="str">
        <x:v>required</x:v>
      </x:c>
      <x:c r="C58" s="3" t="str">
        <x:v>Unverified</x:v>
      </x:c>
      <x:c r="D58" s="3" t="str">
        <x:v>Publish state information-system data descriptions in RIHA</x:v>
      </x:c>
      <x:c r="E58" s="3" t="str">
        <x:v>No RIHA listing, JSON manifest or registration evidence supplied. Public register status/application boundary is not established by code.</x:v>
      </x:c>
      <x:c r="F58" s="3" t="str">
        <x:v>Identify the responsible data collection/system, confirm RIHA obligation and publish/associate required descriptions. Do not infer that this tool must be a separate register.</x:v>
      </x:c>
      <x:c r="G58" s="3" t="str">
        <x:v>Service owner / Data owner</x:v>
      </x:c>
      <x:c r="H58" s="3" t="str">
        <x:v>data</x:v>
      </x:c>
      <x:c r="I58" s="3" t="str">
        <x:v>Yes</x:v>
      </x:c>
      <x:c r="J58" s="3" t="str">
        <x:v>Yes</x:v>
      </x:c>
      <x:c r="K58" s="3" t="str">
        <x:v>Riigi infosüsteemi kuuluvate andmekogude andmekirjeldused on avalikustatud RIHAs.</x:v>
      </x:c>
      <x:c r="L58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59" ht="125" customHeight="1">
      <x:c r="A59" s="8" t="n">
        <x:v>58</x:v>
      </x:c>
      <x:c r="B59" s="3" t="str">
        <x:v>expected</x:v>
      </x:c>
      <x:c r="C59" s="3" t="str">
        <x:v>Partially met</x:v>
      </x:c>
      <x:c r="D59" s="3" t="str">
        <x:v>Dataset, data-element descriptions and data dictionary</x:v>
      </x:c>
      <x:c r="E59" s="3" t="str">
        <x:v>Commented schema, technical overview, workbook field descriptions and business glossary exist.</x:v>
      </x:c>
      <x:c r="F59" s="3" t="str">
        <x:v>Create governed dataset/element definitions with meaning, ownership, identifiers, constraints and retention; export in the receiving catalogue format.</x:v>
      </x:c>
      <x:c r="G59" s="3" t="str">
        <x:v>Data owner</x:v>
      </x:c>
      <x:c r="H59" s="3" t="str">
        <x:v>data</x:v>
      </x:c>
      <x:c r="I59" s="3" t="str">
        <x:v>Yes</x:v>
      </x:c>
      <x:c r="J59" s="3" t="str">
        <x:v>No</x:v>
      </x:c>
      <x:c r="K59" s="3" t="str">
        <x:v>Infosüsteemile on koostatud andmekirjeldus.</x:v>
      </x:c>
      <x:c r="L59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60" ht="125" customHeight="1">
      <x:c r="A60" s="8" t="n">
        <x:v>59</x:v>
      </x:c>
      <x:c r="B60" s="3" t="str">
        <x:v>expected</x:v>
      </x:c>
      <x:c r="C60" s="3" t="str">
        <x:v>Partially met</x:v>
      </x:c>
      <x:c r="D60" s="3" t="str">
        <x:v>Data quality model and measurable indicators</x:v>
      </x:c>
      <x:c r="E60" s="3" t="str">
        <x:v>Validation/uniqueness rules address some correctness and conformity; no explicit five-dimension quality model or measurement specification.</x:v>
      </x:c>
      <x:c r="F60" s="3" t="str">
        <x:v>Define relevant completeness, timeliness, accuracy, conformity and uniqueness indicators and ownership at field/dataset level.</x:v>
      </x:c>
      <x:c r="G60" s="3" t="str">
        <x:v>Data owner</x:v>
      </x:c>
      <x:c r="H60" s="3" t="str">
        <x:v>data</x:v>
      </x:c>
      <x:c r="I60" s="3" t="str">
        <x:v>Yes</x:v>
      </x:c>
      <x:c r="J60" s="3" t="str">
        <x:v>No</x:v>
      </x:c>
      <x:c r="K60" s="3" t="str">
        <x:v>Infosüsteemile saab rakendada andmekvaliteedi mudelit.</x:v>
      </x:c>
      <x:c r="L60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61" ht="125" customHeight="1">
      <x:c r="A61" s="8" t="n">
        <x:v>60</x:v>
      </x:c>
      <x:c r="B61" s="3" t="str">
        <x:v>expected</x:v>
      </x:c>
      <x:c r="C61" s="3" t="str">
        <x:v>Not met</x:v>
      </x:c>
      <x:c r="D61" s="3" t="str">
        <x:v>Export data quality measurements</x:v>
      </x:c>
      <x:c r="E61" s="3" t="str">
        <x:v>No stored quality-measurement runs or indicator-result export found.</x:v>
      </x:c>
      <x:c r="F61" s="3" t="str">
        <x:v>Implement export of the agreed #59 indicators, their units, scope and measurement timestamps; retain results per policy.</x:v>
      </x:c>
      <x:c r="G61" s="3" t="str">
        <x:v>Data owner / Engineering</x:v>
      </x:c>
      <x:c r="H61" s="3" t="str">
        <x:v>data</x:v>
      </x:c>
      <x:c r="I61" s="3" t="str">
        <x:v>Yes</x:v>
      </x:c>
      <x:c r="J61" s="3" t="str">
        <x:v>No</x:v>
      </x:c>
      <x:c r="K61" s="3" t="str">
        <x:v>Infosüsteemist saab kvaliteedi mõõtmise tulemusi välja võtta.</x:v>
      </x:c>
      <x:c r="L61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62" ht="125" customHeight="1">
      <x:c r="A62" s="8" t="n">
        <x:v>61</x:v>
      </x:c>
      <x:c r="B62" s="3" t="str">
        <x:v>expected</x:v>
      </x:c>
      <x:c r="C62" s="3" t="str">
        <x:v>Not met</x:v>
      </x:c>
      <x:c r="D62" s="3" t="str">
        <x:v>Integrate maintained official classifiers</x:v>
      </x:c>
      <x:c r="E62" s="3" t="str">
        <x:v>COUNTIES and other enumerations are static source constants; no maintained classifier integration/versioning found.</x:v>
      </x:c>
      <x:c r="F62" s="3" t="str">
        <x:v>Inventory genuine official classifiers versus app-specific statuses; source official values and validity periods through a maintained integration.</x:v>
      </x:c>
      <x:c r="G62" s="3" t="str">
        <x:v>Data owner / Engineering</x:v>
      </x:c>
      <x:c r="H62" s="3" t="str">
        <x:v>data</x:v>
      </x:c>
      <x:c r="I62" s="3" t="str">
        <x:v>Yes</x:v>
      </x:c>
      <x:c r="J62" s="3" t="str">
        <x:v>No</x:v>
      </x:c>
      <x:c r="K62" s="3" t="str">
        <x:v>Infosüsteem peab olema liidestatud ja kasutama klassifikaatorite haldajate poolt kehtestatud klassifikaatoreid.</x:v>
      </x:c>
      <x:c r="L62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63" ht="125" customHeight="1">
      <x:c r="A63" s="8" t="n">
        <x:v>62</x:v>
      </x:c>
      <x:c r="B63" s="3" t="str">
        <x:v>required</x:v>
      </x:c>
      <x:c r="C63" s="3" t="str">
        <x:v>Partially met</x:v>
      </x:c>
      <x:c r="D63" s="3" t="str">
        <x:v>Human- and machine-readable export with semantics</x:v>
      </x:c>
      <x:c r="E63" s="3" t="str">
        <x:v>PDF protocol and structured XLSX exports exist; canonical protocol JSON stays internal; complete documented machine export is absent.</x:v>
      </x:c>
      <x:c r="F63" s="3" t="str">
        <x:v>Define export scope and semantics, including decisions/evidence and personal-data filtering. Add stable JSON/CSV/XML export where required; XLSX is structured but current coverage is incomplete.</x:v>
      </x:c>
      <x:c r="G63" s="3" t="str">
        <x:v>Data owner / Engineering</x:v>
      </x:c>
      <x:c r="H63" s="3" t="str">
        <x:v>data</x:v>
      </x:c>
      <x:c r="I63" s="3" t="str">
        <x:v>Yes</x:v>
      </x:c>
      <x:c r="J63" s="3" t="str">
        <x:v>Yes</x:v>
      </x:c>
      <x:c r="K63" s="3" t="str">
        <x:v>Andmeid saab eksportida masin- ja inimloetavas vormingus.</x:v>
      </x:c>
      <x:c r="L63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64" ht="125" customHeight="1">
      <x:c r="A64" s="8" t="n">
        <x:v>63</x:v>
      </x:c>
      <x:c r="B64" s="3" t="str">
        <x:v>required</x:v>
      </x:c>
      <x:c r="C64" s="3" t="str">
        <x:v>Met</x:v>
      </x:c>
      <x:c r="D64" s="3" t="str">
        <x:v>No secrets in source or web documents</x:v>
      </x:c>
      <x:c r="E64" s="3" t="str">
        <x:v>Configuration uses env; current tracked-file basic key/token scan found no live-looking key material; .env.example is a template.</x:v>
      </x:c>
      <x:c r="F64" s="3" t="str">
        <x:v>Scoped result only: does not certify git history, deployed secrets or access controls. Run managed secret scanning and verify platform secret storage at handover.</x:v>
      </x:c>
      <x:c r="G64" s="3" t="str">
        <x:v>Security / Platform</x:v>
      </x:c>
      <x:c r="H64" s="3" t="str">
        <x:v>security</x:v>
      </x:c>
      <x:c r="I64" s="3" t="str">
        <x:v>Yes</x:v>
      </x:c>
      <x:c r="J64" s="3" t="str">
        <x:v>Yes</x:v>
      </x:c>
      <x:c r="K64" s="3" t="str">
        <x:v>Võtmeid, sertifikaate, salasõnu ja muud sensitiivset ei talletata koodihoidlas või veebidokumentides.</x:v>
      </x:c>
      <x:c r="L64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65" ht="125" customHeight="1">
      <x:c r="A65" s="8" t="n">
        <x:v>64</x:v>
      </x:c>
      <x:c r="B65" s="3" t="str">
        <x:v>required</x:v>
      </x:c>
      <x:c r="C65" s="3" t="str">
        <x:v>Partially met</x:v>
      </x:c>
      <x:c r="D65" s="3" t="str">
        <x:v>Resilience to external-system failure</x:v>
      </x:c>
      <x:c r="E65" s="3" t="str">
        <x:v>Business transactions commit before SMTP and failed deliveries retry; stranded queued-mail probe reproduced; requests await sequential dispatch.</x:v>
      </x:c>
      <x:c r="F65" s="3" t="str">
        <x:v>Use a durable worker that recovers queued/interrupted sends, with claims, retry/backoff and backlog alerts; isolate request latency from relay timeouts.</x:v>
      </x:c>
      <x:c r="G65" s="3" t="str">
        <x:v>Engineering / Platform</x:v>
      </x:c>
      <x:c r="H65" s="3" t="str">
        <x:v>security</x:v>
      </x:c>
      <x:c r="I65" s="3" t="str">
        <x:v>Yes</x:v>
      </x:c>
      <x:c r="J65" s="3" t="str">
        <x:v>Yes</x:v>
      </x:c>
      <x:c r="K65" s="3" t="str">
        <x:v>Rakendus peab olema väliste süsteemide tõrgete suhtes vastupanuvõimeline (resilient).</x:v>
      </x:c>
      <x:c r="L65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66" ht="125" customHeight="1">
      <x:c r="A66" s="8" t="n">
        <x:v>65</x:v>
      </x:c>
      <x:c r="B66" s="3" t="str">
        <x:v>draft</x:v>
      </x:c>
      <x:c r="C66" s="3" t="str">
        <x:v>Not met</x:v>
      </x:c>
      <x:c r="D66" s="3" t="str">
        <x:v>WAF rules during development</x:v>
      </x:c>
      <x:c r="E66" s="3" t="str">
        <x:v>No application-specific WAF rules supplied.</x:v>
      </x:c>
      <x:c r="F66" s="3" t="str">
        <x:v>Draft only: include platform WAF decisions in threat modelling; do not treat this as an active mandatory CFR failure.</x:v>
      </x:c>
      <x:c r="G66" s="3" t="str">
        <x:v>Security / Platform</x:v>
      </x:c>
      <x:c r="H66" s="3" t="str">
        <x:v>security</x:v>
      </x:c>
      <x:c r="I66" s="3" t="str">
        <x:v>No</x:v>
      </x:c>
      <x:c r="J66" s="3" t="str">
        <x:v>No</x:v>
      </x:c>
      <x:c r="K66" s="3" t="str">
        <x:v>Arenduse käigus luua WAF reeglid.</x:v>
      </x:c>
      <x:c r="L66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67" ht="125" customHeight="1">
      <x:c r="A67" s="8" t="n">
        <x:v>66</x:v>
      </x:c>
      <x:c r="B67" s="3" t="str">
        <x:v>draft</x:v>
      </x:c>
      <x:c r="C67" s="3" t="str">
        <x:v>Partially met</x:v>
      </x:c>
      <x:c r="D67" s="3" t="str">
        <x:v>Attribute every action to a person</x:v>
      </x:c>
      <x:c r="E67" s="3" t="str">
        <x:v>User/action audit and act-as attribution exist; background jobs use system actors; notification read changes are not fully attributed.</x:v>
      </x:c>
      <x:c r="F67" s="3" t="str">
        <x:v>Draft only: clarify system versus human actions and complete required audit coverage.</x:v>
      </x:c>
      <x:c r="G67" s="3" t="str">
        <x:v>Security / Engineering</x:v>
      </x:c>
      <x:c r="H67" s="3" t="str">
        <x:v>security</x:v>
      </x:c>
      <x:c r="I67" s="3" t="str">
        <x:v>No</x:v>
      </x:c>
      <x:c r="J67" s="3" t="str">
        <x:v>No</x:v>
      </x:c>
      <x:c r="K67" s="3" t="str">
        <x:v>Kõik tegevused peavad olema isikustatud.</x:v>
      </x:c>
      <x:c r="L67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  <x:row r="68" ht="125" customHeight="1">
      <x:c r="A68" s="8" t="n">
        <x:v>67</x:v>
      </x:c>
      <x:c r="B68" s="3" t="str">
        <x:v>draft</x:v>
      </x:c>
      <x:c r="C68" s="3" t="str">
        <x:v>Not applicable</x:v>
      </x:c>
      <x:c r="D68" s="3" t="str">
        <x:v>Administrative MFA when MFA is used</x:v>
      </x:c>
      <x:c r="E68" s="3" t="str">
        <x:v>Application does not currently use MFA; email OTP is a single factor.</x:v>
      </x:c>
      <x:c r="F68" s="3" t="str">
        <x:v>Draft and conditional. Apply equal or stronger administrator assurance when national identity/MFA is introduced.</x:v>
      </x:c>
      <x:c r="G68" s="3" t="str">
        <x:v>Security</x:v>
      </x:c>
      <x:c r="H68" s="3" t="str">
        <x:v>security</x:v>
      </x:c>
      <x:c r="I68" s="3" t="str">
        <x:v>No</x:v>
      </x:c>
      <x:c r="J68" s="3" t="str">
        <x:v>No</x:v>
      </x:c>
      <x:c r="K68" s="3" t="str">
        <x:v>Kui kasutatakse mitmefaktorilist autentimist, siis sama kohustus on ka administratiivsetele funktsioonidele.</x:v>
      </x:c>
      <x:c r="L68" s="3" t="str">
        <x:v>https://koodivaramu.eesti.ee/e-gov/cfr/-/blob/4d8b69cb1777952f92310adda22edb95bace4467/cfr.xml | https://github.com/luukasilves/Kaskaadhankija/blob/65d2792b01f5f6d90691443af4ce11d260551fd0/docs/tehniline-ulevaade.md | https://github.com/luukasilves/Kaskaadhankija/blob/65d2792b01f5f6d90691443af4ce11d260551fd0/docs/juurutamine.md</x:v>
      </x:c>
    </x:row>
  </x:sheetData>
  <x:conditionalFormatting sqref="C2:C68">
    <x:cfRule type="expression" dxfId="0" priority="1">
      <x:formula>$C2="Not met"</x:formula>
    </x:cfRule>
    <x:cfRule type="expression" dxfId="1" priority="2">
      <x:formula>$C2="Partially met"</x:formula>
    </x:cfRule>
    <x:cfRule type="expression" dxfId="2" priority="3">
      <x:formula>$C2="Unverified"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044e29c91a4e2f"/>
  </x:tableParts>
</x:worksheet>
</file>